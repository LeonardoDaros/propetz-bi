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4f9d5c715c185684/Área de Trabalho/Automação Dados/Automação Distribuição/"/>
    </mc:Choice>
  </mc:AlternateContent>
  <xr:revisionPtr revIDLastSave="3" documentId="11_E6096523032D841C865A589ECD1AE3C6974E77D1" xr6:coauthVersionLast="47" xr6:coauthVersionMax="47" xr10:uidLastSave="{4DC09A92-1D2E-4DED-8B3A-68223E87E46F}"/>
  <bookViews>
    <workbookView minimized="1" xWindow="7035" yWindow="5385" windowWidth="16470" windowHeight="11235" xr2:uid="{00000000-000D-0000-FFFF-FFFF00000000}"/>
  </bookViews>
  <sheets>
    <sheet name="PEDIDO" sheetId="1" r:id="rId1"/>
    <sheet name="SEU LUCRO" sheetId="2" r:id="rId2"/>
    <sheet name="CADASTRO E CONDIÇÕES" sheetId="3" r:id="rId3"/>
  </sheets>
  <definedNames>
    <definedName name="_xlnm._FilterDatabase" localSheetId="0" hidden="1">PEDIDO!$A$6:$L$146</definedName>
    <definedName name="_xlnm._FilterDatabase" localSheetId="1" hidden="1">'SEU LUCRO'!$A$3:$F$143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6" i="1" l="1"/>
  <c r="L146" i="1"/>
  <c r="J146" i="1"/>
  <c r="K146" i="1" s="1"/>
  <c r="M145" i="1"/>
  <c r="L145" i="1"/>
  <c r="J145" i="1"/>
  <c r="K145" i="1" s="1"/>
  <c r="M144" i="1"/>
  <c r="K144" i="1" s="1"/>
  <c r="L144" i="1"/>
  <c r="J144" i="1"/>
  <c r="M143" i="1"/>
  <c r="L143" i="1"/>
  <c r="J143" i="1"/>
  <c r="K143" i="1" s="1"/>
  <c r="M142" i="1"/>
  <c r="L142" i="1"/>
  <c r="J142" i="1"/>
  <c r="K142" i="1" s="1"/>
  <c r="M141" i="1"/>
  <c r="L141" i="1"/>
  <c r="J141" i="1"/>
  <c r="K141" i="1" s="1"/>
  <c r="M140" i="1"/>
  <c r="L140" i="1"/>
  <c r="J140" i="1"/>
  <c r="K140" i="1" s="1"/>
  <c r="M139" i="1"/>
  <c r="L139" i="1"/>
  <c r="J139" i="1"/>
  <c r="K139" i="1" s="1"/>
  <c r="M138" i="1"/>
  <c r="L138" i="1"/>
  <c r="J138" i="1"/>
  <c r="K138" i="1" s="1"/>
  <c r="M137" i="1"/>
  <c r="L137" i="1"/>
  <c r="J137" i="1"/>
  <c r="K137" i="1" s="1"/>
  <c r="M136" i="1"/>
  <c r="L136" i="1"/>
  <c r="J136" i="1"/>
  <c r="K136" i="1" s="1"/>
  <c r="M135" i="1"/>
  <c r="L135" i="1"/>
  <c r="J135" i="1"/>
  <c r="K135" i="1" s="1"/>
  <c r="M134" i="1"/>
  <c r="L134" i="1"/>
  <c r="J134" i="1"/>
  <c r="K134" i="1" s="1"/>
  <c r="M133" i="1"/>
  <c r="L133" i="1"/>
  <c r="J133" i="1"/>
  <c r="K133" i="1" s="1"/>
  <c r="M132" i="1"/>
  <c r="L132" i="1"/>
  <c r="J132" i="1"/>
  <c r="K132" i="1" s="1"/>
  <c r="M131" i="1"/>
  <c r="L131" i="1"/>
  <c r="J131" i="1"/>
  <c r="K131" i="1" s="1"/>
  <c r="M130" i="1"/>
  <c r="L130" i="1"/>
  <c r="J130" i="1"/>
  <c r="K130" i="1" s="1"/>
  <c r="M129" i="1"/>
  <c r="K129" i="1" s="1"/>
  <c r="L129" i="1"/>
  <c r="J129" i="1"/>
  <c r="M128" i="1"/>
  <c r="L128" i="1"/>
  <c r="J128" i="1"/>
  <c r="K128" i="1" s="1"/>
  <c r="M127" i="1"/>
  <c r="L127" i="1"/>
  <c r="J127" i="1"/>
  <c r="K127" i="1" s="1"/>
  <c r="M126" i="1"/>
  <c r="L126" i="1"/>
  <c r="J126" i="1"/>
  <c r="K126" i="1" s="1"/>
  <c r="M125" i="1"/>
  <c r="L125" i="1"/>
  <c r="J125" i="1"/>
  <c r="K125" i="1" s="1"/>
  <c r="M124" i="1"/>
  <c r="L124" i="1"/>
  <c r="J124" i="1"/>
  <c r="K124" i="1" s="1"/>
  <c r="M123" i="1"/>
  <c r="L123" i="1"/>
  <c r="J123" i="1"/>
  <c r="K123" i="1" s="1"/>
  <c r="M122" i="1"/>
  <c r="L122" i="1"/>
  <c r="J122" i="1"/>
  <c r="K122" i="1" s="1"/>
  <c r="M121" i="1"/>
  <c r="L121" i="1"/>
  <c r="J121" i="1"/>
  <c r="K121" i="1" s="1"/>
  <c r="M120" i="1"/>
  <c r="L120" i="1"/>
  <c r="J120" i="1"/>
  <c r="K120" i="1" s="1"/>
  <c r="M119" i="1"/>
  <c r="L119" i="1"/>
  <c r="J119" i="1"/>
  <c r="K119" i="1" s="1"/>
  <c r="M118" i="1"/>
  <c r="L118" i="1"/>
  <c r="J118" i="1"/>
  <c r="K118" i="1" s="1"/>
  <c r="M117" i="1"/>
  <c r="L117" i="1"/>
  <c r="J117" i="1"/>
  <c r="K117" i="1" s="1"/>
  <c r="M116" i="1"/>
  <c r="L116" i="1"/>
  <c r="J116" i="1"/>
  <c r="K116" i="1" s="1"/>
  <c r="M115" i="1"/>
  <c r="L115" i="1"/>
  <c r="J115" i="1"/>
  <c r="K115" i="1" s="1"/>
  <c r="M114" i="1"/>
  <c r="L114" i="1"/>
  <c r="J114" i="1"/>
  <c r="K114" i="1" s="1"/>
  <c r="M113" i="1"/>
  <c r="L113" i="1"/>
  <c r="J113" i="1"/>
  <c r="K113" i="1" s="1"/>
  <c r="M112" i="1"/>
  <c r="L112" i="1"/>
  <c r="J112" i="1"/>
  <c r="K112" i="1" s="1"/>
  <c r="M111" i="1"/>
  <c r="L111" i="1"/>
  <c r="J111" i="1"/>
  <c r="K111" i="1" s="1"/>
  <c r="M110" i="1"/>
  <c r="L110" i="1"/>
  <c r="J110" i="1"/>
  <c r="K110" i="1" s="1"/>
  <c r="M109" i="1"/>
  <c r="L109" i="1"/>
  <c r="J109" i="1"/>
  <c r="K109" i="1" s="1"/>
  <c r="M108" i="1"/>
  <c r="L108" i="1"/>
  <c r="J108" i="1"/>
  <c r="K108" i="1" s="1"/>
  <c r="M107" i="1"/>
  <c r="L107" i="1"/>
  <c r="J107" i="1"/>
  <c r="K107" i="1" s="1"/>
  <c r="M106" i="1"/>
  <c r="L106" i="1"/>
  <c r="J106" i="1"/>
  <c r="K106" i="1" s="1"/>
  <c r="M105" i="1"/>
  <c r="L105" i="1"/>
  <c r="J105" i="1"/>
  <c r="K105" i="1" s="1"/>
  <c r="M104" i="1"/>
  <c r="L104" i="1"/>
  <c r="J104" i="1"/>
  <c r="K104" i="1" s="1"/>
  <c r="M103" i="1"/>
  <c r="L103" i="1"/>
  <c r="J103" i="1"/>
  <c r="K103" i="1" s="1"/>
  <c r="M102" i="1"/>
  <c r="L102" i="1"/>
  <c r="J102" i="1"/>
  <c r="K102" i="1" s="1"/>
  <c r="M101" i="1"/>
  <c r="L101" i="1"/>
  <c r="J101" i="1"/>
  <c r="K101" i="1" s="1"/>
  <c r="M100" i="1"/>
  <c r="L100" i="1"/>
  <c r="J100" i="1"/>
  <c r="K100" i="1" s="1"/>
  <c r="M99" i="1"/>
  <c r="L99" i="1"/>
  <c r="J99" i="1"/>
  <c r="K99" i="1" s="1"/>
  <c r="M98" i="1"/>
  <c r="L98" i="1"/>
  <c r="J98" i="1"/>
  <c r="K98" i="1" s="1"/>
  <c r="M97" i="1"/>
  <c r="L97" i="1"/>
  <c r="J97" i="1"/>
  <c r="K97" i="1" s="1"/>
  <c r="M96" i="1"/>
  <c r="L96" i="1"/>
  <c r="J96" i="1"/>
  <c r="K96" i="1" s="1"/>
  <c r="M95" i="1"/>
  <c r="L95" i="1"/>
  <c r="J95" i="1"/>
  <c r="K95" i="1" s="1"/>
  <c r="M94" i="1"/>
  <c r="L94" i="1"/>
  <c r="K94" i="1"/>
  <c r="J94" i="1"/>
  <c r="M93" i="1"/>
  <c r="L93" i="1"/>
  <c r="J93" i="1"/>
  <c r="M92" i="1"/>
  <c r="L92" i="1"/>
  <c r="J92" i="1"/>
  <c r="K92" i="1" s="1"/>
  <c r="M91" i="1"/>
  <c r="L91" i="1"/>
  <c r="J91" i="1"/>
  <c r="K91" i="1" s="1"/>
  <c r="M90" i="1"/>
  <c r="L90" i="1"/>
  <c r="J90" i="1"/>
  <c r="K90" i="1" s="1"/>
  <c r="M89" i="1"/>
  <c r="L89" i="1"/>
  <c r="J89" i="1"/>
  <c r="K89" i="1" s="1"/>
  <c r="M88" i="1"/>
  <c r="L88" i="1"/>
  <c r="J88" i="1"/>
  <c r="K88" i="1" s="1"/>
  <c r="M87" i="1"/>
  <c r="L87" i="1"/>
  <c r="J87" i="1"/>
  <c r="K87" i="1" s="1"/>
  <c r="M86" i="1"/>
  <c r="L86" i="1"/>
  <c r="J86" i="1"/>
  <c r="K86" i="1" s="1"/>
  <c r="M85" i="1"/>
  <c r="L85" i="1"/>
  <c r="J85" i="1"/>
  <c r="K85" i="1" s="1"/>
  <c r="M84" i="1"/>
  <c r="L84" i="1"/>
  <c r="J84" i="1"/>
  <c r="K84" i="1" s="1"/>
  <c r="M83" i="1"/>
  <c r="L83" i="1"/>
  <c r="J83" i="1"/>
  <c r="K83" i="1" s="1"/>
  <c r="M82" i="1"/>
  <c r="L82" i="1"/>
  <c r="J82" i="1"/>
  <c r="K82" i="1" s="1"/>
  <c r="M81" i="1"/>
  <c r="L81" i="1"/>
  <c r="J81" i="1"/>
  <c r="K81" i="1" s="1"/>
  <c r="M80" i="1"/>
  <c r="L80" i="1"/>
  <c r="J80" i="1"/>
  <c r="K80" i="1" s="1"/>
  <c r="M79" i="1"/>
  <c r="L79" i="1"/>
  <c r="J79" i="1"/>
  <c r="K79" i="1" s="1"/>
  <c r="M78" i="1"/>
  <c r="L78" i="1"/>
  <c r="J78" i="1"/>
  <c r="K78" i="1" s="1"/>
  <c r="M77" i="1"/>
  <c r="L77" i="1"/>
  <c r="J77" i="1"/>
  <c r="K77" i="1" s="1"/>
  <c r="M76" i="1"/>
  <c r="K76" i="1" s="1"/>
  <c r="L76" i="1"/>
  <c r="J76" i="1"/>
  <c r="M75" i="1"/>
  <c r="L75" i="1"/>
  <c r="J75" i="1"/>
  <c r="K75" i="1" s="1"/>
  <c r="M74" i="1"/>
  <c r="L74" i="1"/>
  <c r="J74" i="1"/>
  <c r="K74" i="1" s="1"/>
  <c r="M73" i="1"/>
  <c r="L73" i="1"/>
  <c r="J73" i="1"/>
  <c r="K73" i="1" s="1"/>
  <c r="M72" i="1"/>
  <c r="L72" i="1"/>
  <c r="J72" i="1"/>
  <c r="K72" i="1" s="1"/>
  <c r="M71" i="1"/>
  <c r="L71" i="1"/>
  <c r="J71" i="1"/>
  <c r="K71" i="1" s="1"/>
  <c r="M70" i="1"/>
  <c r="L70" i="1"/>
  <c r="J70" i="1"/>
  <c r="K70" i="1" s="1"/>
  <c r="M69" i="1"/>
  <c r="L69" i="1"/>
  <c r="J69" i="1"/>
  <c r="K69" i="1" s="1"/>
  <c r="M68" i="1"/>
  <c r="L68" i="1"/>
  <c r="J68" i="1"/>
  <c r="K68" i="1" s="1"/>
  <c r="M67" i="1"/>
  <c r="L67" i="1"/>
  <c r="J67" i="1"/>
  <c r="K67" i="1" s="1"/>
  <c r="M66" i="1"/>
  <c r="L66" i="1"/>
  <c r="J66" i="1"/>
  <c r="K66" i="1" s="1"/>
  <c r="M65" i="1"/>
  <c r="L65" i="1"/>
  <c r="J65" i="1"/>
  <c r="K65" i="1" s="1"/>
  <c r="M64" i="1"/>
  <c r="L64" i="1"/>
  <c r="J64" i="1"/>
  <c r="K64" i="1" s="1"/>
  <c r="M63" i="1"/>
  <c r="L63" i="1"/>
  <c r="J63" i="1"/>
  <c r="K63" i="1" s="1"/>
  <c r="M62" i="1"/>
  <c r="L62" i="1"/>
  <c r="J62" i="1"/>
  <c r="K62" i="1" s="1"/>
  <c r="M61" i="1"/>
  <c r="L61" i="1"/>
  <c r="J61" i="1"/>
  <c r="K61" i="1" s="1"/>
  <c r="M60" i="1"/>
  <c r="L60" i="1"/>
  <c r="J60" i="1"/>
  <c r="K60" i="1" s="1"/>
  <c r="M59" i="1"/>
  <c r="L59" i="1"/>
  <c r="J59" i="1"/>
  <c r="K59" i="1" s="1"/>
  <c r="M58" i="1"/>
  <c r="L58" i="1"/>
  <c r="J58" i="1"/>
  <c r="K58" i="1" s="1"/>
  <c r="M57" i="1"/>
  <c r="L57" i="1"/>
  <c r="J57" i="1"/>
  <c r="K57" i="1" s="1"/>
  <c r="M56" i="1"/>
  <c r="L56" i="1"/>
  <c r="J56" i="1"/>
  <c r="K56" i="1" s="1"/>
  <c r="M55" i="1"/>
  <c r="L55" i="1"/>
  <c r="J55" i="1"/>
  <c r="K55" i="1" s="1"/>
  <c r="M54" i="1"/>
  <c r="L54" i="1"/>
  <c r="J54" i="1"/>
  <c r="K54" i="1" s="1"/>
  <c r="M53" i="1"/>
  <c r="L53" i="1"/>
  <c r="J53" i="1"/>
  <c r="K53" i="1" s="1"/>
  <c r="M52" i="1"/>
  <c r="L52" i="1"/>
  <c r="J52" i="1"/>
  <c r="K52" i="1" s="1"/>
  <c r="M51" i="1"/>
  <c r="L51" i="1"/>
  <c r="J51" i="1"/>
  <c r="K51" i="1" s="1"/>
  <c r="M50" i="1"/>
  <c r="L50" i="1"/>
  <c r="J50" i="1"/>
  <c r="K50" i="1" s="1"/>
  <c r="M49" i="1"/>
  <c r="L49" i="1"/>
  <c r="J49" i="1"/>
  <c r="K49" i="1" s="1"/>
  <c r="M48" i="1"/>
  <c r="L48" i="1"/>
  <c r="J48" i="1"/>
  <c r="K48" i="1" s="1"/>
  <c r="M47" i="1"/>
  <c r="L47" i="1"/>
  <c r="J47" i="1"/>
  <c r="K47" i="1" s="1"/>
  <c r="M46" i="1"/>
  <c r="L46" i="1"/>
  <c r="J46" i="1"/>
  <c r="K46" i="1" s="1"/>
  <c r="M45" i="1"/>
  <c r="L45" i="1"/>
  <c r="J45" i="1"/>
  <c r="K45" i="1" s="1"/>
  <c r="M44" i="1"/>
  <c r="K44" i="1" s="1"/>
  <c r="L44" i="1"/>
  <c r="J44" i="1"/>
  <c r="M43" i="1"/>
  <c r="L43" i="1"/>
  <c r="J43" i="1"/>
  <c r="K43" i="1" s="1"/>
  <c r="M42" i="1"/>
  <c r="K42" i="1" s="1"/>
  <c r="L42" i="1"/>
  <c r="J42" i="1"/>
  <c r="M41" i="1"/>
  <c r="L41" i="1"/>
  <c r="J41" i="1"/>
  <c r="K41" i="1" s="1"/>
  <c r="M40" i="1"/>
  <c r="L40" i="1"/>
  <c r="J40" i="1"/>
  <c r="K40" i="1" s="1"/>
  <c r="M39" i="1"/>
  <c r="L39" i="1"/>
  <c r="J39" i="1"/>
  <c r="K39" i="1" s="1"/>
  <c r="M38" i="1"/>
  <c r="L38" i="1"/>
  <c r="J38" i="1"/>
  <c r="K38" i="1" s="1"/>
  <c r="M37" i="1"/>
  <c r="L37" i="1"/>
  <c r="J37" i="1"/>
  <c r="K37" i="1" s="1"/>
  <c r="M36" i="1"/>
  <c r="L36" i="1"/>
  <c r="J36" i="1"/>
  <c r="K36" i="1" s="1"/>
  <c r="M35" i="1"/>
  <c r="L35" i="1"/>
  <c r="J35" i="1"/>
  <c r="K35" i="1" s="1"/>
  <c r="M34" i="1"/>
  <c r="L34" i="1"/>
  <c r="J34" i="1"/>
  <c r="K34" i="1" s="1"/>
  <c r="M33" i="1"/>
  <c r="L33" i="1"/>
  <c r="J33" i="1"/>
  <c r="K33" i="1" s="1"/>
  <c r="M32" i="1"/>
  <c r="L32" i="1"/>
  <c r="J32" i="1"/>
  <c r="K32" i="1" s="1"/>
  <c r="M31" i="1"/>
  <c r="L31" i="1"/>
  <c r="J31" i="1"/>
  <c r="K31" i="1" s="1"/>
  <c r="M30" i="1"/>
  <c r="L30" i="1"/>
  <c r="J30" i="1"/>
  <c r="K30" i="1" s="1"/>
  <c r="M29" i="1"/>
  <c r="L29" i="1"/>
  <c r="J29" i="1"/>
  <c r="K29" i="1" s="1"/>
  <c r="M28" i="1"/>
  <c r="L28" i="1"/>
  <c r="J28" i="1"/>
  <c r="K28" i="1" s="1"/>
  <c r="M27" i="1"/>
  <c r="L27" i="1"/>
  <c r="J27" i="1"/>
  <c r="K27" i="1" s="1"/>
  <c r="M26" i="1"/>
  <c r="L26" i="1"/>
  <c r="J26" i="1"/>
  <c r="K26" i="1" s="1"/>
  <c r="M25" i="1"/>
  <c r="L25" i="1"/>
  <c r="J25" i="1"/>
  <c r="K25" i="1" s="1"/>
  <c r="M24" i="1"/>
  <c r="L24" i="1"/>
  <c r="J24" i="1"/>
  <c r="K24" i="1" s="1"/>
  <c r="M23" i="1"/>
  <c r="L23" i="1"/>
  <c r="K23" i="1"/>
  <c r="J23" i="1"/>
  <c r="M22" i="1"/>
  <c r="L22" i="1"/>
  <c r="J22" i="1"/>
  <c r="M21" i="1"/>
  <c r="L21" i="1"/>
  <c r="J21" i="1"/>
  <c r="K21" i="1" s="1"/>
  <c r="M20" i="1"/>
  <c r="L20" i="1"/>
  <c r="J20" i="1"/>
  <c r="K20" i="1" s="1"/>
  <c r="M19" i="1"/>
  <c r="L19" i="1"/>
  <c r="J19" i="1"/>
  <c r="K19" i="1" s="1"/>
  <c r="M18" i="1"/>
  <c r="L18" i="1"/>
  <c r="J18" i="1"/>
  <c r="K18" i="1" s="1"/>
  <c r="M17" i="1"/>
  <c r="L17" i="1"/>
  <c r="J17" i="1"/>
  <c r="K17" i="1" s="1"/>
  <c r="M16" i="1"/>
  <c r="L16" i="1"/>
  <c r="J16" i="1"/>
  <c r="K16" i="1" s="1"/>
  <c r="M15" i="1"/>
  <c r="L15" i="1"/>
  <c r="J15" i="1"/>
  <c r="K15" i="1" s="1"/>
  <c r="M14" i="1"/>
  <c r="L14" i="1"/>
  <c r="J14" i="1"/>
  <c r="K14" i="1" s="1"/>
  <c r="M13" i="1"/>
  <c r="K13" i="1" s="1"/>
  <c r="L13" i="1"/>
  <c r="J13" i="1"/>
  <c r="M12" i="1"/>
  <c r="K12" i="1" s="1"/>
  <c r="L12" i="1"/>
  <c r="J12" i="1"/>
  <c r="M11" i="1"/>
  <c r="K11" i="1" s="1"/>
  <c r="L11" i="1"/>
  <c r="J11" i="1"/>
  <c r="M10" i="1"/>
  <c r="K10" i="1" s="1"/>
  <c r="L10" i="1"/>
  <c r="J10" i="1"/>
  <c r="M9" i="1"/>
  <c r="K9" i="1" s="1"/>
  <c r="L9" i="1"/>
  <c r="J9" i="1"/>
  <c r="M8" i="1"/>
  <c r="K8" i="1" s="1"/>
  <c r="L8" i="1"/>
  <c r="J8" i="1"/>
  <c r="M7" i="1"/>
  <c r="K7" i="1" s="1"/>
  <c r="L7" i="1"/>
  <c r="L4" i="1" s="1"/>
  <c r="J7" i="1"/>
  <c r="K93" i="1" l="1"/>
  <c r="G4" i="1"/>
  <c r="K22" i="1"/>
  <c r="A4" i="1"/>
  <c r="E147" i="1"/>
  <c r="I4" i="1"/>
  <c r="K147" i="1" l="1"/>
  <c r="C4" i="1"/>
  <c r="E4" i="1"/>
</calcChain>
</file>

<file path=xl/sharedStrings.xml><?xml version="1.0" encoding="utf-8"?>
<sst xmlns="http://schemas.openxmlformats.org/spreadsheetml/2006/main" count="898" uniqueCount="505">
  <si>
    <t>PROPETZ  ·  PEDIDO DISTRIBUIÇÃO  —  AGOSTO 2026</t>
  </si>
  <si>
    <t>Vigência 01–31/08/2026   ·   À VISTA (PIX/transferência): 5% de desconto no total   ·   A PRAZO: boleto 21/35/49/63/77/91 (sujeito a análise)   ·   Frete a cotar   ·   LINHAS LARANJA = PROMOÇÃO DE AGOSTO — preço promocional JÁ APLICADO nos totais   ·   Equipamentos, lâminas, adaptadores e tesouras: QUANTIDADE MÍNIMA (acima dela, qualquer qtde) · Acessórios: CAIXA FECHADA (múltiplos) — fora do padrão o pedido segue, mas marca a coluna AVISO</t>
  </si>
  <si>
    <t>UNIDADES NO PEDIDO</t>
  </si>
  <si>
    <t>TOTAL A PRAZO</t>
  </si>
  <si>
    <t>TOTAL À VISTA (−5%)</t>
  </si>
  <si>
    <t>SUA ECONOMIA C/ PROMOS</t>
  </si>
  <si>
    <t>ITENS DIFERENTES NO PEDIDO</t>
  </si>
  <si>
    <t>ITENS C/ AVISO</t>
  </si>
  <si>
    <t>Preencha só a coluna QTD (células azuis) — digite livre, os totais calculam sozinhos. Se aparecer ⚠ na coluna AVISO, a quantidade está fora do padrão (abaixo do mínimo ou caixa aberta): o pedido segue, e o vendedor confirma com você. Filtros no cabeçalho.</t>
  </si>
  <si>
    <t>CATEGORIA</t>
  </si>
  <si>
    <t>CÓDIGO</t>
  </si>
  <si>
    <t>CÓD. BARRAS</t>
  </si>
  <si>
    <t>PRODUTO</t>
  </si>
  <si>
    <t>QTD</t>
  </si>
  <si>
    <t>PREÇO TABELA</t>
  </si>
  <si>
    <t>PROMO AGOSTO</t>
  </si>
  <si>
    <t>ECONOMIA</t>
  </si>
  <si>
    <t>IPI</t>
  </si>
  <si>
    <t>PREÇO FINAL C/ IPI</t>
  </si>
  <si>
    <t>TOTAL</t>
  </si>
  <si>
    <t>AVISO</t>
  </si>
  <si>
    <t>Máquinas de Tosa Propetz</t>
  </si>
  <si>
    <t>MP3-CF1X-100</t>
  </si>
  <si>
    <t>7898670766103</t>
  </si>
  <si>
    <t>Máquina De Tosa PLUMA Propetz VERDE Profissional, Bivolt</t>
  </si>
  <si>
    <t>MP3-SF2X-100</t>
  </si>
  <si>
    <t>7898670767308</t>
  </si>
  <si>
    <t>Máquina de tosa Pluma EVOLUTION SEM FIO Propetz verde profissional, bivolt</t>
  </si>
  <si>
    <t>MP4-SF1P-100</t>
  </si>
  <si>
    <t>7898670766110</t>
  </si>
  <si>
    <t>Máquina De Tosa VOLARE Propetz SEM FIO Profissional, Bivolt</t>
  </si>
  <si>
    <t>MP5-510P-100</t>
  </si>
  <si>
    <t>7898670766127</t>
  </si>
  <si>
    <t>Máquina De Tosa PRO7 Propetz PRETA - 5 em 1, Bivolt</t>
  </si>
  <si>
    <t>MP5-610X-100</t>
  </si>
  <si>
    <t>7898670767292</t>
  </si>
  <si>
    <t>Máquina de tosa PRO7 X Propetz VERDE - 5 em 1, bivolt (cabo USB)</t>
  </si>
  <si>
    <t>MP2-520X-100</t>
  </si>
  <si>
    <t>7898670765304</t>
  </si>
  <si>
    <t>Máquina De Tosa PRO X Propetz VERDE - 4 em 1, Bivolt</t>
  </si>
  <si>
    <t>MP1-320X-100</t>
  </si>
  <si>
    <t>7898670765335</t>
  </si>
  <si>
    <t>Máquina De Tosa PRO X mini Propetz VERDE Acabamento, Bivolt</t>
  </si>
  <si>
    <t>8808-600-000</t>
  </si>
  <si>
    <t>7898670761054</t>
  </si>
  <si>
    <t>Máquina de tosa PRO6 Propetz PRETA Profissional Acabamento, Bivolt</t>
  </si>
  <si>
    <t>8808-320-000</t>
  </si>
  <si>
    <t>7898670761092</t>
  </si>
  <si>
    <t>Máquina de tosa MO3 Propetz PINK , Lâmina de Cerâmica, Bivolt</t>
  </si>
  <si>
    <t>8808-300-000</t>
  </si>
  <si>
    <t>7898670761078</t>
  </si>
  <si>
    <t>Máquina de tosa MO3 Propetz AZUL, Lâmina de Cerâmica, Bivolt</t>
  </si>
  <si>
    <t>Secadores Aura Propetz</t>
  </si>
  <si>
    <t>SEP1-100X-100</t>
  </si>
  <si>
    <t>7898670767285</t>
  </si>
  <si>
    <t>Secador Aura Propetz 127V</t>
  </si>
  <si>
    <t>SEP1-100X-200</t>
  </si>
  <si>
    <t>7898670767278</t>
  </si>
  <si>
    <t>Secador Aura Propetz 220V</t>
  </si>
  <si>
    <t>Lâminas de Tosa Propetz - PRO 7 (5 em 1)</t>
  </si>
  <si>
    <t>L3P-CS830-200</t>
  </si>
  <si>
    <t>7898670766615</t>
  </si>
  <si>
    <t>Lâmina de Tosa PRO7 Aço Inox Premium Regulável SLIM Nº 8 a Nº 30 Propetz</t>
  </si>
  <si>
    <t>L3P-CF940-200</t>
  </si>
  <si>
    <t>7898670766141</t>
  </si>
  <si>
    <t>Lâmina de Tosa PRO7 Aço Inox Premium Regulável ULTRA SLIM Nº 9 a Nº 40 Propetz</t>
  </si>
  <si>
    <t>L3X-PS940-100</t>
  </si>
  <si>
    <t>7898670766165</t>
  </si>
  <si>
    <t>Lâmina de Tosa PRO7 Linha X Regulável ULTRA SLIM Nº 9 a Nº 40 Propetz</t>
  </si>
  <si>
    <t>L3X-P7F-100</t>
  </si>
  <si>
    <t>7898670766172</t>
  </si>
  <si>
    <t>Lâmina de Tosa PRO7 Linha X 7F Propetz</t>
  </si>
  <si>
    <t>L3X-P4F-100</t>
  </si>
  <si>
    <t>7898670766189</t>
  </si>
  <si>
    <t>Lâmina de Tosa PRO7 Linha X 4F Propetz</t>
  </si>
  <si>
    <t>L3X-P5F-100</t>
  </si>
  <si>
    <t>7898670766349</t>
  </si>
  <si>
    <t>Lâmina de Tosa PRO7 Linha X 5F Propetz</t>
  </si>
  <si>
    <t>L3X-P6F-100</t>
  </si>
  <si>
    <t>7898670766356</t>
  </si>
  <si>
    <t>Lâmina de Tosa PRO7 Linha X 6F Propetz</t>
  </si>
  <si>
    <t>L3X-P3F-100</t>
  </si>
  <si>
    <t>7898670766301</t>
  </si>
  <si>
    <t>Lâmina de Tosa PRO7 Linha X 3F Propetz</t>
  </si>
  <si>
    <t>L3P-CC045-100</t>
  </si>
  <si>
    <t>7898670766196</t>
  </si>
  <si>
    <t>Lâmina de Tosa PRO7 Aço Inox Premium 45 Propetz Joyzee</t>
  </si>
  <si>
    <t>Lâminas de Tosa Propetz - PRO 6/PRO X (4 em 1)</t>
  </si>
  <si>
    <t>L2APROXS-100</t>
  </si>
  <si>
    <t>7898670766318</t>
  </si>
  <si>
    <t>Lâmina de Tosa Linha X Regulável SLIM Nº 9 a Nº 30 PRO6/PROX Propetz</t>
  </si>
  <si>
    <t>L2APROXUS-100</t>
  </si>
  <si>
    <t>7898670766325</t>
  </si>
  <si>
    <t>Lâmina de Tosa LINHA X Regulável ULTRA SLIM Nº 10 a Nº 40 PRO6/PROX Propetz</t>
  </si>
  <si>
    <t>L2AP67F-100</t>
  </si>
  <si>
    <t>7898670762556</t>
  </si>
  <si>
    <t>Lâmina de Tosa Linha X 7F PRO6/PROX Propetz</t>
  </si>
  <si>
    <t>L2AP64F-100</t>
  </si>
  <si>
    <t>7898670762570</t>
  </si>
  <si>
    <t>Lâmina de Tosa Linha X 4F PRO6/PROX Propetz</t>
  </si>
  <si>
    <t>L2AP63F-100</t>
  </si>
  <si>
    <t>7898670762600</t>
  </si>
  <si>
    <t>Lâmina de Tosa Linha X 3F PRO6-PROX Propetz</t>
  </si>
  <si>
    <t>L2AP630XB-200</t>
  </si>
  <si>
    <t>7898670766332</t>
  </si>
  <si>
    <t>Lamina de Tosa Linha X 30 Propetz EXCLUSIVA PRO6</t>
  </si>
  <si>
    <t>L2AP630SS-200</t>
  </si>
  <si>
    <t>7898670767056</t>
  </si>
  <si>
    <t>Lamina de Tosa Aço Inox Premium 30 Propetz EXCLUSIVA PRO6</t>
  </si>
  <si>
    <t>Lâminas de Tosa Propetz - MO 3/ PRO 4/ PRO X mini</t>
  </si>
  <si>
    <t>L2AP3-100</t>
  </si>
  <si>
    <t>7898670766202</t>
  </si>
  <si>
    <t>Lâmina de Tosa PRO X mini Propetz de Nº0.25mm</t>
  </si>
  <si>
    <t>L2AP4-100</t>
  </si>
  <si>
    <t>7898670762587</t>
  </si>
  <si>
    <t>Lâmina de Tosa PRO4 Propetz, N°0,25mm</t>
  </si>
  <si>
    <t>L2PMO3-100</t>
  </si>
  <si>
    <t>7898670762594</t>
  </si>
  <si>
    <t>Lâmina de Tosa MO3 Propetz de Nº1.0mm</t>
  </si>
  <si>
    <t>Cortantes de ceramica</t>
  </si>
  <si>
    <t>CL1CP-100</t>
  </si>
  <si>
    <t>7898670762624</t>
  </si>
  <si>
    <t>Cortante I de Cerâmica Lâminas Propetz - Para lâminas n.40 e n.50</t>
  </si>
  <si>
    <t>C1LRP-100</t>
  </si>
  <si>
    <t>7898670762631</t>
  </si>
  <si>
    <t>Cortante II de Cerâmica Lâminas Propetz - Para lâminas n.10,15,30,3F,4F,5F e 7F</t>
  </si>
  <si>
    <t>Lâminas de Tosa SUPER Premium TITANIUM Propetz</t>
  </si>
  <si>
    <t>L1SP-T09-200</t>
  </si>
  <si>
    <t>7898670765977</t>
  </si>
  <si>
    <t>Lâmina De Tosa 9 Titanium Super Premium Propetz</t>
  </si>
  <si>
    <t>L1SP-T10-200</t>
  </si>
  <si>
    <t>7898670765137</t>
  </si>
  <si>
    <t>Lâmina De Tosa 10 Titanium Super Premium Propetz</t>
  </si>
  <si>
    <t>L1SP-T15-200</t>
  </si>
  <si>
    <t>7898670765991</t>
  </si>
  <si>
    <t>Lâmina De Tosa 15 Titanium Super Premium Propetz</t>
  </si>
  <si>
    <t>L1SP-T30-200</t>
  </si>
  <si>
    <t>7898670765144</t>
  </si>
  <si>
    <t>Lâmina De Tosa 30 Titanium Super Premium Propetz</t>
  </si>
  <si>
    <t>L1SP-T40-200</t>
  </si>
  <si>
    <t>7898670765151</t>
  </si>
  <si>
    <t>Lâmina De Tosa 40 Titanium Super Premium Propetz</t>
  </si>
  <si>
    <t>L1SP-T50-200</t>
  </si>
  <si>
    <t>7898670765960</t>
  </si>
  <si>
    <t>Lâmina De Tosa 50 Titanium Super Premium Propetz</t>
  </si>
  <si>
    <t>L1SP-T4F-200</t>
  </si>
  <si>
    <t>7898670765175</t>
  </si>
  <si>
    <t>Lâmina De Tosa 4F Titanium Super Premium Propetz</t>
  </si>
  <si>
    <t>L1SP-T7F-200</t>
  </si>
  <si>
    <t>7898670765182</t>
  </si>
  <si>
    <t>Lâmina De Tosa 7F Titanium Super Premium Propetz</t>
  </si>
  <si>
    <t>Lâminas de Tosa Premium AÇO INOX Propetz</t>
  </si>
  <si>
    <t>L2P-C10-100</t>
  </si>
  <si>
    <t>7898670765199</t>
  </si>
  <si>
    <t>Lâmina De Tosa 10 Aço Inox Premium Propetz</t>
  </si>
  <si>
    <t>L2P-C30-100</t>
  </si>
  <si>
    <t>7898670765205</t>
  </si>
  <si>
    <t>Lâmina De Tosa 30 Aço Inox Premium Propetz</t>
  </si>
  <si>
    <t>L2P-C40-100</t>
  </si>
  <si>
    <t>7898670765212</t>
  </si>
  <si>
    <t>Lâmina De Tosa 40 Aço Inox Premium Propetz</t>
  </si>
  <si>
    <t>L2P-C4F-100</t>
  </si>
  <si>
    <t>7898670765236</t>
  </si>
  <si>
    <t>Lâmina De Tosa 4F Aço Inox Premium Propetz</t>
  </si>
  <si>
    <t>L2P-C5F-100</t>
  </si>
  <si>
    <t>7898670766028</t>
  </si>
  <si>
    <t>Lâmina De Tosa 5F Aço Inox Premium Propetz</t>
  </si>
  <si>
    <t>L2P-C7F-100</t>
  </si>
  <si>
    <t>7898670765243</t>
  </si>
  <si>
    <t>Lâmina De Tosa 7F Aço Inox Premium Propetz</t>
  </si>
  <si>
    <t>Kit de Adaptadores Propetz</t>
  </si>
  <si>
    <t>KAI1P-100</t>
  </si>
  <si>
    <t>7898670762617</t>
  </si>
  <si>
    <t>Kit de Adaptadores de Inox Propetz Laminas Profissionais 08 Peças</t>
  </si>
  <si>
    <t>KAI2P-100</t>
  </si>
  <si>
    <t>7898670764772</t>
  </si>
  <si>
    <t>Kit de Adaptadores de Inox Propetz Máquinas 5 em 1 / 4 em 1 - All in One</t>
  </si>
  <si>
    <t>Escovas Propetz</t>
  </si>
  <si>
    <t>C1SBGA-100</t>
  </si>
  <si>
    <t>7898670760095</t>
  </si>
  <si>
    <t>Escova Pinos s/ Bolinha Grande Azul Propetz</t>
  </si>
  <si>
    <t>C1SBMA-100</t>
  </si>
  <si>
    <t>7898670760118</t>
  </si>
  <si>
    <t>Escova Pinos s/ Bolinha Média Azul Propetz</t>
  </si>
  <si>
    <t>C1EP-MSBD-200</t>
  </si>
  <si>
    <t>7898670762693</t>
  </si>
  <si>
    <t>Escova Premium Pinos s/ Bolinha Média Black Propetz</t>
  </si>
  <si>
    <t>C1EP-GSBD-200</t>
  </si>
  <si>
    <t>7898670762709</t>
  </si>
  <si>
    <t>Escova Premium Pinos s/ Bolinha Grande Black Propetz</t>
  </si>
  <si>
    <t>C1EBA-100X-100</t>
  </si>
  <si>
    <t>7898670767223</t>
  </si>
  <si>
    <t>Escova de Banho Propetz LANÇAMENTO</t>
  </si>
  <si>
    <t>Rasqueadeiras Propetz</t>
  </si>
  <si>
    <t>E1RPGD-200</t>
  </si>
  <si>
    <t>7898670762716</t>
  </si>
  <si>
    <t>Rasqueadeira Premium Reta Grande Pinos Firmes Black Propetz</t>
  </si>
  <si>
    <t>E1RP-GDPM-200</t>
  </si>
  <si>
    <t>7898670762723</t>
  </si>
  <si>
    <t>Rasqueadeira Premium Reta Grande Pinos Macio Black Propetz</t>
  </si>
  <si>
    <t>E1CP-MD-PLD-200</t>
  </si>
  <si>
    <t>7898670762730</t>
  </si>
  <si>
    <t>Rasqueadeira Premium Curva Media Pinos Longos Firmes Black Propetz</t>
  </si>
  <si>
    <t>E1CP-MD-PLR-200</t>
  </si>
  <si>
    <t>7898670762747</t>
  </si>
  <si>
    <t>Rasqueadeira Premium Curva Media Pinos Longos Regulares Black Propetz</t>
  </si>
  <si>
    <t>E1CGA-200</t>
  </si>
  <si>
    <t>7898670766363</t>
  </si>
  <si>
    <t>Rasqueadeira Clássica Reta Grande Azul Propetz</t>
  </si>
  <si>
    <t>E1CMA-200</t>
  </si>
  <si>
    <t>7898670766370</t>
  </si>
  <si>
    <t>Rasqueadeira Clássica Reta Média Azul Propetz</t>
  </si>
  <si>
    <t>E1RBGA-200</t>
  </si>
  <si>
    <t>7898670766400</t>
  </si>
  <si>
    <t>Rasqueadeira Reta c/ Bolinha Grande Azul Propetz</t>
  </si>
  <si>
    <t>E1RBMA-100</t>
  </si>
  <si>
    <t>7898670761344</t>
  </si>
  <si>
    <t>Rasqueadeira Reta c/ Bolinha Média Azul Propetz</t>
  </si>
  <si>
    <t>E1CBGA-200</t>
  </si>
  <si>
    <t>7898670760255</t>
  </si>
  <si>
    <t>Rasqueadeira Curva c/ Bolinha Grande Azul Propetz</t>
  </si>
  <si>
    <t>E1CBMA-200</t>
  </si>
  <si>
    <t>7898670760927</t>
  </si>
  <si>
    <t>Rasqueadeira Curva c/ Bolinha Média Azul Propetz</t>
  </si>
  <si>
    <t>E1GCA-200</t>
  </si>
  <si>
    <t>7898670766608</t>
  </si>
  <si>
    <t>Rasqueadeira Curva Grande</t>
  </si>
  <si>
    <t>E1FPGA-100</t>
  </si>
  <si>
    <t>7898670760378</t>
  </si>
  <si>
    <t>Rasqueadeira Flexível Pinos Longos Macio Azul Propetz</t>
  </si>
  <si>
    <t>E1MCA-200</t>
  </si>
  <si>
    <t>Rasqueadeira Curva Média Azul Propetz</t>
  </si>
  <si>
    <t>Pentes Propetz</t>
  </si>
  <si>
    <t>F119A50-100</t>
  </si>
  <si>
    <t>7898670760446</t>
  </si>
  <si>
    <t>Pente 19cm Duplo Alumínio Azul Propetz</t>
  </si>
  <si>
    <t>F125A50-100</t>
  </si>
  <si>
    <t>7898670760484</t>
  </si>
  <si>
    <t>Pente 25cm Duplo Alumínio Azul Propetz</t>
  </si>
  <si>
    <t>F130A50-100</t>
  </si>
  <si>
    <t>7898670760385</t>
  </si>
  <si>
    <t>Pente 30cm Duplo Alumínio Azul Propetz</t>
  </si>
  <si>
    <t>L1PCPA-200</t>
  </si>
  <si>
    <t>Pente Penteado de Metal c/ Cabo Azul Propetz</t>
  </si>
  <si>
    <t>L1PXPA-100</t>
  </si>
  <si>
    <t>7898670767049</t>
  </si>
  <si>
    <t>Pente Penteado de Metal 18cm c/ Cabo Azul Propetz</t>
  </si>
  <si>
    <t>L1PPMA-100</t>
  </si>
  <si>
    <t>7898670760569</t>
  </si>
  <si>
    <t>Pente p/ Topete Azul Propetz</t>
  </si>
  <si>
    <t>G1PA-200</t>
  </si>
  <si>
    <t>7898670766424</t>
  </si>
  <si>
    <t>Pente de Pulgas c/ Cabo Azul Propetz</t>
  </si>
  <si>
    <t>M1TLA-200</t>
  </si>
  <si>
    <t>7898670766455</t>
  </si>
  <si>
    <t>Tira Laço Azul Propetz</t>
  </si>
  <si>
    <t>Pentes Akemi Propetz</t>
  </si>
  <si>
    <t>F119-AKA-100</t>
  </si>
  <si>
    <t>7898670762648</t>
  </si>
  <si>
    <t>Pente 19cm Akemi Aluminio Propetz</t>
  </si>
  <si>
    <t>F119-AKI-100</t>
  </si>
  <si>
    <t>7898670762662</t>
  </si>
  <si>
    <t>Pente 19cm Akemi Aço Inox Propetz</t>
  </si>
  <si>
    <t>F125-AKA-100</t>
  </si>
  <si>
    <t>7898670762655</t>
  </si>
  <si>
    <t>Pente 23cm Akemi Aluminio Propetz</t>
  </si>
  <si>
    <t>F125-AKI-100</t>
  </si>
  <si>
    <t>7898670762679</t>
  </si>
  <si>
    <t>Pente 23cm Akemi Aço Inox Propetz</t>
  </si>
  <si>
    <t>L118-AKI-100</t>
  </si>
  <si>
    <t>7898670767032</t>
  </si>
  <si>
    <t>Pente Penteado 18cm Akemi Aço Inox Propetz</t>
  </si>
  <si>
    <t>Desemboladores - Rakes - Facas &amp; Escovas Mágicas Propetz</t>
  </si>
  <si>
    <t>H1DMBA-200</t>
  </si>
  <si>
    <t>Desembolador MatBreaker Azul Propetz</t>
  </si>
  <si>
    <t>B19LA-200</t>
  </si>
  <si>
    <t>7898670766431</t>
  </si>
  <si>
    <t>Desembolador Reto 09 Lâminas Azul Propetz</t>
  </si>
  <si>
    <t>B1DP12LA-200</t>
  </si>
  <si>
    <t>7898670766448</t>
  </si>
  <si>
    <t>Desembolador Reto 12 Lâminas Azul Propetz</t>
  </si>
  <si>
    <t>H120DA-100</t>
  </si>
  <si>
    <t>7898670760644</t>
  </si>
  <si>
    <t>Rake Subpelo 20 Dentes Pelos Curtos Azul Propetz</t>
  </si>
  <si>
    <t>H113DA-100</t>
  </si>
  <si>
    <t>7898670760668</t>
  </si>
  <si>
    <t>Rake Subpelo 13 Dentes Pelos Longos Azul Propetz</t>
  </si>
  <si>
    <t>D1PX-F31D-100</t>
  </si>
  <si>
    <t>7898670766486</t>
  </si>
  <si>
    <t>Faca Stripping 31 Dentes Azul Propetz</t>
  </si>
  <si>
    <t>D1PX-F40D-100</t>
  </si>
  <si>
    <t>7898670766493</t>
  </si>
  <si>
    <t>Faca Stripping 40 Dentes Azul Propetz</t>
  </si>
  <si>
    <t>D1PX-F28D-100</t>
  </si>
  <si>
    <t>7898670767070</t>
  </si>
  <si>
    <t>Faca Stripping 28 Dentes Face e Orelha Azul Propetz</t>
  </si>
  <si>
    <t>I1PX-M79C-100</t>
  </si>
  <si>
    <t>7898670766509</t>
  </si>
  <si>
    <t>Escova Mágica p/ Pelo Curto Média Azul Propetz</t>
  </si>
  <si>
    <t>I1PX-M45L-100</t>
  </si>
  <si>
    <t>7898670766516</t>
  </si>
  <si>
    <t>Escova Mágica p/ Pelo Longo Média Azul Propetz</t>
  </si>
  <si>
    <t>Alicates Propetz</t>
  </si>
  <si>
    <t>A1GA-200</t>
  </si>
  <si>
    <t>7898670760903</t>
  </si>
  <si>
    <t>Alicate de Unhas Grande Azul Propetz</t>
  </si>
  <si>
    <t>A1PA-200</t>
  </si>
  <si>
    <t>7898670766462</t>
  </si>
  <si>
    <t>Alicate de Unhas Pequeno Azul Propetz</t>
  </si>
  <si>
    <t>A2PA-200</t>
  </si>
  <si>
    <t>7898670760057</t>
  </si>
  <si>
    <t>Alicate de Unhas p/ Gato e Filhotes Pequeno Azul Propetz</t>
  </si>
  <si>
    <t>Linha Home-Use Propetz - Pop</t>
  </si>
  <si>
    <t>C1ND-GAP-100</t>
  </si>
  <si>
    <t>7898670761153</t>
  </si>
  <si>
    <t>Escova Pinos/Nylon Dupla Grande Pop Propetz</t>
  </si>
  <si>
    <t>E1AL-GPA-100</t>
  </si>
  <si>
    <t>7898670762754</t>
  </si>
  <si>
    <t>Rasqueadeira Autolimpante Grande Pop Propetz</t>
  </si>
  <si>
    <t>F119-S50P-100</t>
  </si>
  <si>
    <t>7898670762761</t>
  </si>
  <si>
    <t>Pente 19cm Duplo Aço Cromado Pop Propetz</t>
  </si>
  <si>
    <t>Tesouras Laser Propetz</t>
  </si>
  <si>
    <t>L1R75A-200</t>
  </si>
  <si>
    <t>7898670760682</t>
  </si>
  <si>
    <t>Tesoura Laser Reta 7,5" Azul Propetz</t>
  </si>
  <si>
    <t>L1C75A-200</t>
  </si>
  <si>
    <t>Tesoura Laser Curva 7,5" Azul Propetz</t>
  </si>
  <si>
    <t>L1T7A-100</t>
  </si>
  <si>
    <t>7898670760729</t>
  </si>
  <si>
    <t>Tesoura Laser Semi-Dentada 7" Azul Propetz</t>
  </si>
  <si>
    <t>L1PP6A-200</t>
  </si>
  <si>
    <t>7898670766592</t>
  </si>
  <si>
    <t>Tesoura Laser Ponta Protegida Reta 6" Azul Propetz</t>
  </si>
  <si>
    <t>Tesouras Curva Profissionais Propetz - Akemi</t>
  </si>
  <si>
    <t>5AK-65CA-100</t>
  </si>
  <si>
    <t>7898670762945</t>
  </si>
  <si>
    <t>Tesoura Curva 6.5" Aluminio Akemi (Aço 440C) Azul Propetz</t>
  </si>
  <si>
    <t>5AK-65CR-100</t>
  </si>
  <si>
    <t>7898670762921</t>
  </si>
  <si>
    <t>Tesoura Curva 6.5" Aluminio Akemi( Aço 440C) Rosa Propetz</t>
  </si>
  <si>
    <t>5AK-70CA-100</t>
  </si>
  <si>
    <t>7898670762907</t>
  </si>
  <si>
    <t>Tesoura Curva 7" Aluminio Akemi(Aço 440C) Azul Propetz</t>
  </si>
  <si>
    <t>5AK-70CR-100</t>
  </si>
  <si>
    <t>7898670762846</t>
  </si>
  <si>
    <t>Tesoura Curva 7" Aluminio Akemi(Aço 440C) Rosa Propetz</t>
  </si>
  <si>
    <t>Tesoura Curva Profisionais SUPER Premium Propetz</t>
  </si>
  <si>
    <t>5PR-75C-TSP-100</t>
  </si>
  <si>
    <t>7898670765625</t>
  </si>
  <si>
    <t>TESOURA CURVA 440C 7.5” SUPER PREMIUM – PROPETZ</t>
  </si>
  <si>
    <t>5PR-75SC-TSP-100</t>
  </si>
  <si>
    <t>7898670766523</t>
  </si>
  <si>
    <t>TESOURA SUPER CURVA 440C 7.5” SUPER PREMIUM – PROPETZ</t>
  </si>
  <si>
    <t>Tesoura Reta Profisionais SUPER Premium Propetz</t>
  </si>
  <si>
    <t>5PR-75R-TSP-100</t>
  </si>
  <si>
    <t>7898670765618</t>
  </si>
  <si>
    <t>TESOURA RETA 440C 7.5” SUPER PREMIUM – PROPETZ</t>
  </si>
  <si>
    <t>Tesoura Tubarão Profissionais SUPER Premium Propetz</t>
  </si>
  <si>
    <t>5PR-75T-TSP-100</t>
  </si>
  <si>
    <t>7898670765632</t>
  </si>
  <si>
    <t>TESOURA TUBARÃO 440C 7.5” SUPER PREMIUM – PROPETZ</t>
  </si>
  <si>
    <t>5PR-75TC-TSP-100</t>
  </si>
  <si>
    <t>7898670765656</t>
  </si>
  <si>
    <t>TESOURA TUBARÃO CURVA 440C 7.5” SUPER PREMIUM – PROPETZ</t>
  </si>
  <si>
    <t>5PR-75TU-TSP-100</t>
  </si>
  <si>
    <t>7898670765670</t>
  </si>
  <si>
    <t>TESOURA TUBARÃO ULTRA 440C 7.5” SUPER PREMIUM – PROPETZ</t>
  </si>
  <si>
    <t>Tesoura Semi Dentada Profissionais SUPER Premium Propetz</t>
  </si>
  <si>
    <t>5PR-75SD-TSP-100</t>
  </si>
  <si>
    <t>7898670765649</t>
  </si>
  <si>
    <t>TESOURA SEMI-DENTADA 440C 7.5” SUPER PREMIUM – PROPETZ</t>
  </si>
  <si>
    <t>5PR-75SDU-TSP-100</t>
  </si>
  <si>
    <t>7898670766530</t>
  </si>
  <si>
    <t>TESOURA SEMI-DENTADA ULTRA 440C 7.5” SUPER PREMIUM – PROPETZ</t>
  </si>
  <si>
    <t>5PR-75SDC-TSP-100</t>
  </si>
  <si>
    <t>7898670765663</t>
  </si>
  <si>
    <t>TESOURA SEMI-DENTADA CURVA 440C 7.5” SUPER PREMIUM</t>
  </si>
  <si>
    <t>Tesoura Curva Chrome Premium Propetz</t>
  </si>
  <si>
    <t>4PR-70C-CP-100</t>
  </si>
  <si>
    <t>7898670765489</t>
  </si>
  <si>
    <t>TESOURA CURVA CHROME 440C 7” PREMIUM – PROPETZ</t>
  </si>
  <si>
    <t>4PR-75C-CP-100</t>
  </si>
  <si>
    <t>7898670765496</t>
  </si>
  <si>
    <t>TESOURA CURVA CHROME 440C 7.5” PREMIUM – PROPETZ</t>
  </si>
  <si>
    <t>4PR-80C-CP-100</t>
  </si>
  <si>
    <t>7898670765502</t>
  </si>
  <si>
    <t>TESOURA CURVA CHROME 440C 8” PREMIUM – PROPETZ</t>
  </si>
  <si>
    <t>4PR-85C-CP-100</t>
  </si>
  <si>
    <t>7898670765519</t>
  </si>
  <si>
    <t>TESOURA CURVA CHROME 440C 8.5” PREMIUM – PROPETZ</t>
  </si>
  <si>
    <t>Tesoura Reta Chrome Premium Propetz</t>
  </si>
  <si>
    <t>4PR-70R-CP-100</t>
  </si>
  <si>
    <t>7898670765441</t>
  </si>
  <si>
    <t>TESOURA RETA CHROME 440C 7” PREMIUM – PROPETZ</t>
  </si>
  <si>
    <t>4PR-75R-CP-100</t>
  </si>
  <si>
    <t>7898670765458</t>
  </si>
  <si>
    <t>TESOURA RETA CHROME 440C 7.5” PREMIUM – PROPETZ</t>
  </si>
  <si>
    <t>4PR-80R-CP-100</t>
  </si>
  <si>
    <t>7898670765465</t>
  </si>
  <si>
    <t>TESOURA RETA CHROME 440C 8” PREMIUM – PROPETZ</t>
  </si>
  <si>
    <t>4PR-85R-CP-100</t>
  </si>
  <si>
    <t>7898670765472</t>
  </si>
  <si>
    <t>TESOURA RETA CHROME 440C 8.5” PREMIUM – PROPETZ</t>
  </si>
  <si>
    <t>Tesoura Tubarão Chrome Premium Propetz</t>
  </si>
  <si>
    <t>4PR-70T-CP-100</t>
  </si>
  <si>
    <t>7898670765526</t>
  </si>
  <si>
    <t>TESOURA TUBARÃO CHROME 440C 7” PREMIUM – PROPETZ</t>
  </si>
  <si>
    <t>4PR-75T-CP-100</t>
  </si>
  <si>
    <t>7898670765533</t>
  </si>
  <si>
    <t>TESOURA TUBARÃO CHROME 440C 7.5” PREMIUM – PROPETZ</t>
  </si>
  <si>
    <t>4PR-70TC-CP-100</t>
  </si>
  <si>
    <t>7898670765564</t>
  </si>
  <si>
    <t>TESOURA TUBARÃO CURVA CHROME 440C 7” PREMIUM – PROPETZ</t>
  </si>
  <si>
    <t>4PR-75TC-CP-100</t>
  </si>
  <si>
    <t>7898670765571</t>
  </si>
  <si>
    <t>TESOURA TUBARÃO CURVA CHROME 440C 7.5” PREMIUM – PROPETZ</t>
  </si>
  <si>
    <t>4PR-75TU-CP-100</t>
  </si>
  <si>
    <t>7898670765601</t>
  </si>
  <si>
    <t>TESOURA TUBARÃO ULTRA CHROME 440C 7.5” PREMIUM – PROPETZ</t>
  </si>
  <si>
    <t>Tesoura Semi Dentada Chrome Premium Propetz</t>
  </si>
  <si>
    <t>4PR-70SD-CP-100</t>
  </si>
  <si>
    <t>7898670765540</t>
  </si>
  <si>
    <t>TESOURA SEMI-DENTADA CHROME 440C 7” PREMIUM – PROPETZ</t>
  </si>
  <si>
    <t>4PR-75SD-CP-100</t>
  </si>
  <si>
    <t>7898670765557</t>
  </si>
  <si>
    <t>TESOURA SEMI-DENTADA CHROME 440C 7.5” PREMIUM – PROPETZ</t>
  </si>
  <si>
    <t>4PR-70SDC-CP-100</t>
  </si>
  <si>
    <t>7898670765588</t>
  </si>
  <si>
    <t>TESOURA SEMI-DENTADA CURVA CHROME 440C 7” PREMIUM – PROPETZ</t>
  </si>
  <si>
    <t>4PR-75SDC-CP-100</t>
  </si>
  <si>
    <t>7898670765595</t>
  </si>
  <si>
    <t>TESOURA SEMI-DENTADA CURVA CHROME 440C 7.5” PREMIUM – PROPETZ</t>
  </si>
  <si>
    <t>Tesoura CANHOTO Chrome Premium Propetz</t>
  </si>
  <si>
    <t>4PR-75CT-CP-100</t>
  </si>
  <si>
    <t>7898670766288</t>
  </si>
  <si>
    <t>TESOURA CANHOTO TUBARÃO (GRAN PIANO) CHROME 440C 7” PREMIUM – PROPETZ</t>
  </si>
  <si>
    <t>4PR-75CC-CP-100</t>
  </si>
  <si>
    <t>7898670766295</t>
  </si>
  <si>
    <t>TESOURA CANHOTO CURVA CHROME 440C 7.5” PREMIUM – PROPETZ</t>
  </si>
  <si>
    <t>Estojo para Tesouras Propetz</t>
  </si>
  <si>
    <t>1CRP-PR-100</t>
  </si>
  <si>
    <t>7898670764253</t>
  </si>
  <si>
    <t>Estojo para 4 Tesouras - X Propetz</t>
  </si>
  <si>
    <t>Guias de Nylon Propetz</t>
  </si>
  <si>
    <t>GNPPR45-100</t>
  </si>
  <si>
    <t>7898670762358</t>
  </si>
  <si>
    <t>Guia de Nylon Propetz Preta 45cm</t>
  </si>
  <si>
    <t>GNPAZ45-100</t>
  </si>
  <si>
    <t>7898670762365</t>
  </si>
  <si>
    <t>Guia de Nylon Propetz Azul 45cm</t>
  </si>
  <si>
    <t>GNPRO45-100</t>
  </si>
  <si>
    <t>7898670762372</t>
  </si>
  <si>
    <t>Guia de Nylon Propetz Rosa 45cm</t>
  </si>
  <si>
    <t>GNPPR60-100</t>
  </si>
  <si>
    <t>7898670762389</t>
  </si>
  <si>
    <t>Guia de Nylon Propetz Preta 60cm</t>
  </si>
  <si>
    <t>GNPAZ60-100</t>
  </si>
  <si>
    <t>7898670762396</t>
  </si>
  <si>
    <t>Guia de Nylon Propetz Azul 60cm</t>
  </si>
  <si>
    <t>GNPRO60-100</t>
  </si>
  <si>
    <t>7898670762402</t>
  </si>
  <si>
    <t>Guia de Nylon Propetz Rosa 60cm</t>
  </si>
  <si>
    <t>Suporte de Mesa</t>
  </si>
  <si>
    <t>SMP-XA1-100</t>
  </si>
  <si>
    <t>7898670767216</t>
  </si>
  <si>
    <t>Suporte de Mesa Pequeno Propetz Azul LANÇAMENTO</t>
  </si>
  <si>
    <t>TOTAL DO PEDIDO</t>
  </si>
  <si>
    <t>QUANTO VOCÊ GANHA REVENDENDO PROPETZ  —  valores sugeridos de revenda</t>
  </si>
  <si>
    <t>Revenda sugerida = preço do site Propetz −5% (você vende MAIS BARATO que o nosso site). Mínimo permitido = site −15% (piso para não desvalorizar a marca). Ganho calculado sobre o seu preço de compra vigente (promo, quando houver).</t>
  </si>
  <si>
    <t>SEU PREÇO (AGO)</t>
  </si>
  <si>
    <t>REVENDA SUGERIDA (site −5%)</t>
  </si>
  <si>
    <t>MÍNIMO PERMITIDO (site −15%)</t>
  </si>
  <si>
    <t>SEU GANHO</t>
  </si>
  <si>
    <t>CADASTRO DO CLIENTE  +  CONDIÇÕES COMERCIAIS</t>
  </si>
  <si>
    <t>Razão Social:</t>
  </si>
  <si>
    <t>CNPJ:</t>
  </si>
  <si>
    <t>I.E. e I.M.:</t>
  </si>
  <si>
    <t>Endereço:</t>
  </si>
  <si>
    <t>Bairro:</t>
  </si>
  <si>
    <t>Cidade e Estado:</t>
  </si>
  <si>
    <t>CEP:</t>
  </si>
  <si>
    <t>Telefone / Celular:</t>
  </si>
  <si>
    <t>E-mail:</t>
  </si>
  <si>
    <t>Instagram:</t>
  </si>
  <si>
    <t>Horário de entrega:</t>
  </si>
  <si>
    <t>Data de aniversário:</t>
  </si>
  <si>
    <t>Vendedor(a) Propetz:</t>
  </si>
  <si>
    <t>CONDIÇÕES DE PAGAMENTO</t>
  </si>
  <si>
    <t>•  À vista: PIX ou transferência — 5% de desconto sobre o total do pedido.</t>
  </si>
  <si>
    <t>•  A prazo: boleto 21/35/49/63/77/91 dias (condições sujeitas a análise financeira).</t>
  </si>
  <si>
    <t>•  Preços PROMOÇÃO (laranja): já aplicados automaticamente no seu pedido.</t>
  </si>
  <si>
    <t>•  Frete: a cotar no fechamento do pedido.</t>
  </si>
  <si>
    <t>•  IPI destacado por item na aba PEDIDO.</t>
  </si>
  <si>
    <t>QUANTIDADE MÍNIMA POR MODELO</t>
  </si>
  <si>
    <t>Máquinas de Tosa Propetz por cor</t>
  </si>
  <si>
    <t>Lâminas de Tosa Propetz</t>
  </si>
  <si>
    <t>Kit de Adaptadores de Metal Propetz</t>
  </si>
  <si>
    <t>Tesouras Profissionais ou Estojos (cada modelo)</t>
  </si>
  <si>
    <t>Acessórios Escovação Propetz (Todos os itens, exceto os dois abaixo)</t>
  </si>
  <si>
    <t>Rasqueadeira Autolimpante</t>
  </si>
  <si>
    <t>Tira Laço</t>
  </si>
  <si>
    <t>Guias Propetz</t>
  </si>
  <si>
    <t>Pentes Akemi</t>
  </si>
  <si>
    <t>Exceções pelo padrão de embalagem: Tesouras Laser = mín. 12 · Tesoura Super Curva 7,5" Super Premium = mín. 4 · Pentes Akemi = múltiplos de 6 · Tira-Laço = múltiplos de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</si>
</sst>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R$&quot;\ #,##0.00"/>
    <numFmt numFmtId="165" formatCode="0.0%"/>
    <numFmt numFmtId="166" formatCode="&quot;+&quot;0%"/>
  </numFmts>
  <fonts count="21">
    <font>
      <sz val="11"/>
      <color theme="1"/>
      <name val="Calibri"/>
      <family val="2"/>
      <scheme val="minor"/>
    </font>
    <font>
      <b/>
      <sz val="16"/>
      <color rgb="FFFFFFFF"/>
      <name val="Inter"/>
    </font>
    <font>
      <sz val="9"/>
      <color rgb="FF1E293B"/>
      <name val="Inter"/>
    </font>
    <font>
      <b/>
      <sz val="8"/>
      <color rgb="FF64748B"/>
      <name val="Inter"/>
    </font>
    <font>
      <b/>
      <sz val="12"/>
      <color rgb="FF085041"/>
      <name val="Inter"/>
    </font>
    <font>
      <b/>
      <sz val="12"/>
      <color rgb="FFC00000"/>
      <name val="Inter"/>
    </font>
    <font>
      <sz val="9"/>
      <color rgb="FF64748B"/>
      <name val="Inter"/>
    </font>
    <font>
      <b/>
      <sz val="9"/>
      <color rgb="FFFFFFFF"/>
      <name val="Inter"/>
    </font>
    <font>
      <b/>
      <sz val="9"/>
      <color rgb="FF0F6E56"/>
      <name val="Inter"/>
    </font>
    <font>
      <sz val="10"/>
      <name val="Inter"/>
    </font>
    <font>
      <b/>
      <sz val="10"/>
      <name val="Inter"/>
    </font>
    <font>
      <strike/>
      <sz val="10"/>
      <color rgb="FF64748B"/>
      <name val="Inter"/>
    </font>
    <font>
      <b/>
      <sz val="10"/>
      <color rgb="FFC55A11"/>
      <name val="Inter"/>
    </font>
    <font>
      <b/>
      <sz val="9"/>
      <color rgb="FFC55A11"/>
      <name val="Inter"/>
    </font>
    <font>
      <b/>
      <sz val="9"/>
      <color rgb="FFC00000"/>
      <name val="Inter"/>
    </font>
    <font>
      <sz val="10"/>
      <color rgb="FF000000"/>
      <name val="Inter"/>
    </font>
    <font>
      <b/>
      <sz val="11"/>
      <name val="Inter"/>
    </font>
    <font>
      <b/>
      <sz val="14"/>
      <color rgb="FFFFFFFF"/>
      <name val="Inter"/>
    </font>
    <font>
      <b/>
      <sz val="10"/>
      <color rgb="FF0F6E56"/>
      <name val="Inter"/>
    </font>
    <font>
      <sz val="10"/>
      <color rgb="FF000000"/>
      <name val="Inter"/>
    </font>
    <font>
      <b/>
      <sz val="11"/>
      <color rgb="FF085041"/>
      <name val="Inter"/>
    </font>
  </fonts>
  <fills count="7">
    <fill>
      <patternFill patternType="none"/>
    </fill>
    <fill>
      <patternFill patternType="gray125"/>
    </fill>
    <fill>
      <patternFill patternType="solid">
        <fgColor rgb="FF085041"/>
      </patternFill>
    </fill>
    <fill>
      <patternFill patternType="solid">
        <fgColor rgb="FFE1F5EE"/>
      </patternFill>
    </fill>
    <fill>
      <patternFill patternType="solid">
        <fgColor rgb="FF0F6E56"/>
      </patternFill>
    </fill>
    <fill>
      <patternFill patternType="solid">
        <fgColor rgb="FFEFF6FF"/>
      </patternFill>
    </fill>
    <fill>
      <patternFill patternType="solid">
        <fgColor rgb="FFFFF2CC"/>
      </patternFill>
    </fill>
  </fills>
  <borders count="2">
    <border>
      <left/>
      <right/>
      <top/>
      <bottom/>
      <diagonal/>
    </border>
    <border>
      <left style="thin">
        <color rgb="FFB6D9D9"/>
      </left>
      <right style="thin">
        <color rgb="FFB6D9D9"/>
      </right>
      <top style="thin">
        <color rgb="FFB6D9D9"/>
      </top>
      <bottom style="thin">
        <color rgb="FFB6D9D9"/>
      </bottom>
      <diagonal/>
    </border>
  </borders>
  <cellStyleXfs count="1">
    <xf numFmtId="0" fontId="0" fillId="0" borderId="0"/>
  </cellStyleXfs>
  <cellXfs count="51">
    <xf numFmtId="0" fontId="0" fillId="0" borderId="0" xfId="0"/>
    <xf numFmtId="0" fontId="6" fillId="0" borderId="0" xfId="0" applyFont="1"/>
    <xf numFmtId="0" fontId="7" fillId="4" borderId="1" xfId="0" applyFont="1" applyFill="1" applyBorder="1" applyAlignment="1">
      <alignment horizontal="center" vertical="center" wrapText="1"/>
    </xf>
    <xf numFmtId="0" fontId="8" fillId="6" borderId="1" xfId="0" applyFont="1" applyFill="1" applyBorder="1"/>
    <xf numFmtId="0" fontId="9" fillId="6" borderId="1" xfId="0" applyFont="1" applyFill="1" applyBorder="1"/>
    <xf numFmtId="49" fontId="6" fillId="6" borderId="1" xfId="0" applyNumberFormat="1" applyFont="1" applyFill="1" applyBorder="1"/>
    <xf numFmtId="0" fontId="10" fillId="6" borderId="1" xfId="0" applyFont="1" applyFill="1" applyBorder="1"/>
    <xf numFmtId="0" fontId="10" fillId="5" borderId="1" xfId="0" applyFont="1" applyFill="1" applyBorder="1" applyAlignment="1" applyProtection="1">
      <alignment horizontal="center"/>
      <protection locked="0"/>
    </xf>
    <xf numFmtId="164" fontId="11" fillId="6" borderId="1" xfId="0" applyNumberFormat="1" applyFont="1" applyFill="1" applyBorder="1"/>
    <xf numFmtId="164" fontId="12" fillId="6" borderId="1" xfId="0" applyNumberFormat="1" applyFont="1" applyFill="1" applyBorder="1"/>
    <xf numFmtId="165" fontId="13" fillId="6" borderId="1" xfId="0" applyNumberFormat="1" applyFont="1" applyFill="1" applyBorder="1"/>
    <xf numFmtId="10" fontId="6" fillId="6" borderId="1" xfId="0" applyNumberFormat="1" applyFont="1" applyFill="1" applyBorder="1"/>
    <xf numFmtId="164" fontId="10" fillId="6" borderId="1" xfId="0" applyNumberFormat="1" applyFont="1" applyFill="1" applyBorder="1"/>
    <xf numFmtId="164" fontId="9" fillId="6" borderId="1" xfId="0" applyNumberFormat="1" applyFont="1" applyFill="1" applyBorder="1"/>
    <xf numFmtId="0" fontId="14" fillId="6" borderId="1" xfId="0" applyFont="1" applyFill="1" applyBorder="1"/>
    <xf numFmtId="0" fontId="8" fillId="0" borderId="1" xfId="0" applyFont="1" applyBorder="1"/>
    <xf numFmtId="0" fontId="9" fillId="0" borderId="1" xfId="0" applyFont="1" applyBorder="1"/>
    <xf numFmtId="49" fontId="6" fillId="0" borderId="1" xfId="0" applyNumberFormat="1" applyFont="1" applyBorder="1"/>
    <xf numFmtId="164" fontId="15" fillId="0" borderId="1" xfId="0" applyNumberFormat="1" applyFont="1" applyBorder="1"/>
    <xf numFmtId="0" fontId="0" fillId="0" borderId="1" xfId="0" applyBorder="1"/>
    <xf numFmtId="10" fontId="6" fillId="0" borderId="1" xfId="0" applyNumberFormat="1" applyFont="1" applyBorder="1"/>
    <xf numFmtId="164" fontId="10" fillId="0" borderId="1" xfId="0" applyNumberFormat="1" applyFont="1" applyBorder="1"/>
    <xf numFmtId="164" fontId="9" fillId="0" borderId="1" xfId="0" applyNumberFormat="1" applyFont="1" applyBorder="1"/>
    <xf numFmtId="0" fontId="14" fillId="0" borderId="1" xfId="0" applyFont="1" applyBorder="1"/>
    <xf numFmtId="0" fontId="0" fillId="3" borderId="0" xfId="0" applyFill="1"/>
    <xf numFmtId="0" fontId="16" fillId="3" borderId="0" xfId="0" applyFont="1" applyFill="1"/>
    <xf numFmtId="164" fontId="4" fillId="3" borderId="0" xfId="0" applyNumberFormat="1" applyFont="1" applyFill="1"/>
    <xf numFmtId="0" fontId="7" fillId="4" borderId="1" xfId="0" applyFont="1" applyFill="1" applyBorder="1" applyAlignment="1">
      <alignment horizontal="center" vertical="center"/>
    </xf>
    <xf numFmtId="164" fontId="6" fillId="6" borderId="1" xfId="0" applyNumberFormat="1" applyFont="1" applyFill="1" applyBorder="1"/>
    <xf numFmtId="166" fontId="18" fillId="6" borderId="1" xfId="0" applyNumberFormat="1" applyFont="1" applyFill="1" applyBorder="1"/>
    <xf numFmtId="164" fontId="19" fillId="0" borderId="1" xfId="0" applyNumberFormat="1" applyFont="1" applyBorder="1"/>
    <xf numFmtId="164" fontId="6" fillId="0" borderId="1" xfId="0" applyNumberFormat="1" applyFont="1" applyBorder="1"/>
    <xf numFmtId="166" fontId="18" fillId="0" borderId="1" xfId="0" applyNumberFormat="1" applyFont="1" applyBorder="1"/>
    <xf numFmtId="0" fontId="10" fillId="0" borderId="0" xfId="0" applyFont="1"/>
    <xf numFmtId="0" fontId="0" fillId="5" borderId="1" xfId="0" applyFill="1" applyBorder="1" applyProtection="1">
      <protection locked="0"/>
    </xf>
    <xf numFmtId="0" fontId="20" fillId="0" borderId="0" xfId="0" applyFont="1"/>
    <xf numFmtId="0" fontId="10" fillId="0" borderId="1" xfId="0" applyFont="1" applyBorder="1" applyAlignment="1">
      <alignment horizontal="center"/>
    </xf>
    <xf numFmtId="3" fontId="4" fillId="0" borderId="0" xfId="0" applyNumberFormat="1" applyFont="1" applyAlignment="1">
      <alignment horizontal="center"/>
    </xf>
    <xf numFmtId="0" fontId="0" fillId="0" borderId="0" xfId="0"/>
    <xf numFmtId="164" fontId="4" fillId="0" borderId="0" xfId="0" applyNumberFormat="1" applyFont="1" applyAlignment="1">
      <alignment horizontal="center"/>
    </xf>
    <xf numFmtId="0" fontId="2" fillId="3" borderId="0" xfId="0" applyFont="1" applyFill="1" applyAlignment="1">
      <alignment horizontal="center" vertical="center" wrapText="1"/>
    </xf>
    <xf numFmtId="0" fontId="1" fillId="2" borderId="0" xfId="0" applyFont="1" applyFill="1" applyAlignment="1">
      <alignment horizontal="center" vertical="center"/>
    </xf>
    <xf numFmtId="1" fontId="5" fillId="0" borderId="0" xfId="0" applyNumberFormat="1" applyFont="1" applyAlignment="1">
      <alignment horizontal="center"/>
    </xf>
    <xf numFmtId="0" fontId="3" fillId="0" borderId="0" xfId="0" applyFont="1" applyAlignment="1">
      <alignment horizontal="center"/>
    </xf>
    <xf numFmtId="0" fontId="6" fillId="0" borderId="0" xfId="0" applyFont="1"/>
    <xf numFmtId="0" fontId="16" fillId="3" borderId="0" xfId="0" applyFont="1" applyFill="1" applyAlignment="1">
      <alignment horizontal="right"/>
    </xf>
    <xf numFmtId="0" fontId="0" fillId="3" borderId="0" xfId="0" applyFill="1"/>
    <xf numFmtId="1" fontId="4" fillId="0" borderId="0" xfId="0" applyNumberFormat="1" applyFont="1" applyAlignment="1">
      <alignment horizontal="center"/>
    </xf>
    <xf numFmtId="0" fontId="17" fillId="2" borderId="0" xfId="0" applyFont="1" applyFill="1" applyAlignment="1">
      <alignment horizontal="center" vertical="center"/>
    </xf>
    <xf numFmtId="0" fontId="9" fillId="0" borderId="1" xfId="0" applyFont="1" applyBorder="1"/>
    <xf numFmtId="0" fontId="9"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7"/>
  <sheetViews>
    <sheetView showGridLines="0" tabSelected="1" workbookViewId="0">
      <pane ySplit="6" topLeftCell="A7" activePane="bottomLeft" state="frozen"/>
      <selection pane="bottomLeft" activeCell="E7" sqref="E7"/>
    </sheetView>
  </sheetViews>
  <sheetFormatPr defaultRowHeight="15"/>
  <cols>
    <col min="1" max="1" width="24" customWidth="1"/>
    <col min="2" max="2" width="16" customWidth="1"/>
    <col min="3" max="3" width="15" customWidth="1"/>
    <col min="4" max="4" width="52" customWidth="1"/>
    <col min="5" max="5" width="8" customWidth="1"/>
    <col min="6" max="7" width="13" customWidth="1"/>
    <col min="8" max="8" width="10" customWidth="1"/>
    <col min="9" max="9" width="7" customWidth="1"/>
    <col min="10" max="11" width="15" customWidth="1"/>
    <col min="12" max="12" width="34" customWidth="1"/>
    <col min="13" max="13" width="5" hidden="1" customWidth="1"/>
  </cols>
  <sheetData>
    <row r="1" spans="1:13" ht="32.1" customHeight="1">
      <c r="A1" s="41" t="s">
        <v>0</v>
      </c>
      <c r="B1" s="38"/>
      <c r="C1" s="38"/>
      <c r="D1" s="38"/>
      <c r="E1" s="38"/>
      <c r="F1" s="38"/>
      <c r="G1" s="38"/>
      <c r="H1" s="38"/>
      <c r="I1" s="38"/>
      <c r="J1" s="38"/>
      <c r="K1" s="38"/>
      <c r="L1" s="38"/>
    </row>
    <row r="2" spans="1:13" ht="30" customHeight="1">
      <c r="A2" s="40" t="s">
        <v>1</v>
      </c>
      <c r="B2" s="38"/>
      <c r="C2" s="38"/>
      <c r="D2" s="38"/>
      <c r="E2" s="38"/>
      <c r="F2" s="38"/>
      <c r="G2" s="38"/>
      <c r="H2" s="38"/>
      <c r="I2" s="38"/>
      <c r="J2" s="38"/>
      <c r="K2" s="38"/>
      <c r="L2" s="38"/>
    </row>
    <row r="3" spans="1:13" ht="14.1" customHeight="1">
      <c r="A3" s="43" t="s">
        <v>2</v>
      </c>
      <c r="B3" s="38"/>
      <c r="C3" s="43" t="s">
        <v>3</v>
      </c>
      <c r="D3" s="38"/>
      <c r="E3" s="43" t="s">
        <v>4</v>
      </c>
      <c r="F3" s="38"/>
      <c r="G3" s="43" t="s">
        <v>5</v>
      </c>
      <c r="H3" s="38"/>
      <c r="I3" s="43" t="s">
        <v>6</v>
      </c>
      <c r="J3" s="38"/>
      <c r="K3" s="38"/>
      <c r="L3" s="43" t="s">
        <v>7</v>
      </c>
    </row>
    <row r="4" spans="1:13" ht="20.100000000000001" customHeight="1">
      <c r="A4" s="37">
        <f>SUM($M$7:$M$146)</f>
        <v>10</v>
      </c>
      <c r="B4" s="38"/>
      <c r="C4" s="39">
        <f>SUM($K$7:$K$146)</f>
        <v>7898.7</v>
      </c>
      <c r="D4" s="38"/>
      <c r="E4" s="39">
        <f>ROUND(SUM($K$7:$K$146)*0.95,2)</f>
        <v>7503.77</v>
      </c>
      <c r="F4" s="38"/>
      <c r="G4" s="39">
        <f>ROUND(SUMPRODUCT($M$7:$M$146,ROUND($F$7:$F$146*(1+$I$7:$I$146),2))-SUM($K$7:$K$146),2)</f>
        <v>1695</v>
      </c>
      <c r="H4" s="38"/>
      <c r="I4" s="47">
        <f>SUMPRODUCT(--($M$7:$M$146&gt;0))</f>
        <v>1</v>
      </c>
      <c r="J4" s="38"/>
      <c r="K4" s="38"/>
      <c r="L4" s="42">
        <f>COUNTIF($L$7:$L$146,"⚠*")</f>
        <v>0</v>
      </c>
    </row>
    <row r="5" spans="1:13">
      <c r="A5" s="44" t="s">
        <v>8</v>
      </c>
      <c r="B5" s="38"/>
      <c r="C5" s="38"/>
      <c r="D5" s="38"/>
      <c r="E5" s="38"/>
      <c r="F5" s="38"/>
      <c r="G5" s="38"/>
      <c r="H5" s="38"/>
      <c r="I5" s="38"/>
      <c r="J5" s="38"/>
      <c r="K5" s="38"/>
      <c r="L5" s="38"/>
    </row>
    <row r="6" spans="1:13" ht="24" customHeight="1">
      <c r="A6" s="2" t="s">
        <v>9</v>
      </c>
      <c r="B6" s="2" t="s">
        <v>10</v>
      </c>
      <c r="C6" s="2" t="s">
        <v>11</v>
      </c>
      <c r="D6" s="2" t="s">
        <v>12</v>
      </c>
      <c r="E6" s="2" t="s">
        <v>13</v>
      </c>
      <c r="F6" s="2" t="s">
        <v>14</v>
      </c>
      <c r="G6" s="2" t="s">
        <v>15</v>
      </c>
      <c r="H6" s="2" t="s">
        <v>16</v>
      </c>
      <c r="I6" s="2" t="s">
        <v>17</v>
      </c>
      <c r="J6" s="2" t="s">
        <v>18</v>
      </c>
      <c r="K6" s="2" t="s">
        <v>19</v>
      </c>
      <c r="L6" s="2" t="s">
        <v>20</v>
      </c>
    </row>
    <row r="7" spans="1:13">
      <c r="A7" s="3" t="s">
        <v>21</v>
      </c>
      <c r="B7" s="4" t="s">
        <v>22</v>
      </c>
      <c r="C7" s="5" t="s">
        <v>23</v>
      </c>
      <c r="D7" s="6" t="s">
        <v>24</v>
      </c>
      <c r="E7" s="7">
        <v>10</v>
      </c>
      <c r="F7" s="8">
        <v>849</v>
      </c>
      <c r="G7" s="9">
        <v>699</v>
      </c>
      <c r="H7" s="10">
        <v>0.17699999999999999</v>
      </c>
      <c r="I7" s="11">
        <v>0.13</v>
      </c>
      <c r="J7" s="12">
        <f t="shared" ref="J7:J38" si="0">ROUND(IF($G7&lt;&gt;"",$G7,$F7)*(1+$I7),2)</f>
        <v>789.87</v>
      </c>
      <c r="K7" s="13">
        <f t="shared" ref="K7:K38" si="1">$M7*$J7</f>
        <v>7898.7</v>
      </c>
      <c r="L7" s="14" t="str">
        <f t="shared" ref="L7:L37" si="2">IF($E7="","",IF(NOT(ISNUMBER($E7)),"⚠ QUANTIDADE INVÁLIDA",IF(OR($E7&lt;0,$E7&lt;&gt;INT($E7)),"⚠ QUANTIDADE INVÁLIDA",IF($E7=0,"",IF($E7&lt;4,"⚠ ABAIXO DO MÍNIMO (4 un.)","")))))</f>
        <v/>
      </c>
      <c r="M7" s="1">
        <f t="shared" ref="M7:M38" si="3">IF(ISNUMBER($E7),IF(AND($E7&gt;=0,$E7=INT($E7)),$E7,0),0)</f>
        <v>10</v>
      </c>
    </row>
    <row r="8" spans="1:13">
      <c r="A8" s="3" t="s">
        <v>21</v>
      </c>
      <c r="B8" s="4" t="s">
        <v>25</v>
      </c>
      <c r="C8" s="5" t="s">
        <v>26</v>
      </c>
      <c r="D8" s="6" t="s">
        <v>27</v>
      </c>
      <c r="E8" s="7">
        <v>0</v>
      </c>
      <c r="F8" s="8">
        <v>990</v>
      </c>
      <c r="G8" s="9">
        <v>940.5</v>
      </c>
      <c r="H8" s="10">
        <v>0.05</v>
      </c>
      <c r="I8" s="11">
        <v>0.13</v>
      </c>
      <c r="J8" s="12">
        <f t="shared" si="0"/>
        <v>1062.77</v>
      </c>
      <c r="K8" s="13">
        <f t="shared" si="1"/>
        <v>0</v>
      </c>
      <c r="L8" s="14" t="str">
        <f t="shared" si="2"/>
        <v/>
      </c>
      <c r="M8" s="1">
        <f t="shared" si="3"/>
        <v>0</v>
      </c>
    </row>
    <row r="9" spans="1:13">
      <c r="A9" s="3" t="s">
        <v>21</v>
      </c>
      <c r="B9" s="4" t="s">
        <v>28</v>
      </c>
      <c r="C9" s="5" t="s">
        <v>29</v>
      </c>
      <c r="D9" s="6" t="s">
        <v>30</v>
      </c>
      <c r="E9" s="7">
        <v>0</v>
      </c>
      <c r="F9" s="8">
        <v>1390</v>
      </c>
      <c r="G9" s="9">
        <v>1251</v>
      </c>
      <c r="H9" s="10">
        <v>0.1</v>
      </c>
      <c r="I9" s="11">
        <v>0.13</v>
      </c>
      <c r="J9" s="12">
        <f t="shared" si="0"/>
        <v>1413.63</v>
      </c>
      <c r="K9" s="13">
        <f t="shared" si="1"/>
        <v>0</v>
      </c>
      <c r="L9" s="14" t="str">
        <f t="shared" si="2"/>
        <v/>
      </c>
      <c r="M9" s="1">
        <f t="shared" si="3"/>
        <v>0</v>
      </c>
    </row>
    <row r="10" spans="1:13">
      <c r="A10" s="3" t="s">
        <v>21</v>
      </c>
      <c r="B10" s="4" t="s">
        <v>31</v>
      </c>
      <c r="C10" s="5" t="s">
        <v>32</v>
      </c>
      <c r="D10" s="6" t="s">
        <v>33</v>
      </c>
      <c r="E10" s="7">
        <v>0</v>
      </c>
      <c r="F10" s="8">
        <v>497</v>
      </c>
      <c r="G10" s="9">
        <v>479.6</v>
      </c>
      <c r="H10" s="10">
        <v>3.5000000000000003E-2</v>
      </c>
      <c r="I10" s="11">
        <v>0.13</v>
      </c>
      <c r="J10" s="12">
        <f t="shared" si="0"/>
        <v>541.95000000000005</v>
      </c>
      <c r="K10" s="13">
        <f t="shared" si="1"/>
        <v>0</v>
      </c>
      <c r="L10" s="14" t="str">
        <f t="shared" si="2"/>
        <v/>
      </c>
      <c r="M10" s="1">
        <f t="shared" si="3"/>
        <v>0</v>
      </c>
    </row>
    <row r="11" spans="1:13">
      <c r="A11" s="3" t="s">
        <v>21</v>
      </c>
      <c r="B11" s="4" t="s">
        <v>34</v>
      </c>
      <c r="C11" s="5" t="s">
        <v>35</v>
      </c>
      <c r="D11" s="6" t="s">
        <v>36</v>
      </c>
      <c r="E11" s="7">
        <v>0</v>
      </c>
      <c r="F11" s="8">
        <v>389</v>
      </c>
      <c r="G11" s="9">
        <v>369.55</v>
      </c>
      <c r="H11" s="10">
        <v>0.05</v>
      </c>
      <c r="I11" s="11">
        <v>0.13</v>
      </c>
      <c r="J11" s="12">
        <f t="shared" si="0"/>
        <v>417.59</v>
      </c>
      <c r="K11" s="13">
        <f t="shared" si="1"/>
        <v>0</v>
      </c>
      <c r="L11" s="14" t="str">
        <f t="shared" si="2"/>
        <v/>
      </c>
      <c r="M11" s="1">
        <f t="shared" si="3"/>
        <v>0</v>
      </c>
    </row>
    <row r="12" spans="1:13">
      <c r="A12" s="15" t="s">
        <v>21</v>
      </c>
      <c r="B12" s="16" t="s">
        <v>37</v>
      </c>
      <c r="C12" s="17" t="s">
        <v>38</v>
      </c>
      <c r="D12" s="16" t="s">
        <v>39</v>
      </c>
      <c r="E12" s="7">
        <v>0</v>
      </c>
      <c r="F12" s="18">
        <v>319</v>
      </c>
      <c r="G12" s="19"/>
      <c r="H12" s="19"/>
      <c r="I12" s="20">
        <v>0.13</v>
      </c>
      <c r="J12" s="21">
        <f t="shared" si="0"/>
        <v>360.47</v>
      </c>
      <c r="K12" s="22">
        <f t="shared" si="1"/>
        <v>0</v>
      </c>
      <c r="L12" s="23" t="str">
        <f t="shared" si="2"/>
        <v/>
      </c>
      <c r="M12" s="1">
        <f t="shared" si="3"/>
        <v>0</v>
      </c>
    </row>
    <row r="13" spans="1:13">
      <c r="A13" s="3" t="s">
        <v>21</v>
      </c>
      <c r="B13" s="4" t="s">
        <v>40</v>
      </c>
      <c r="C13" s="5" t="s">
        <v>41</v>
      </c>
      <c r="D13" s="6" t="s">
        <v>42</v>
      </c>
      <c r="E13" s="7">
        <v>0</v>
      </c>
      <c r="F13" s="8">
        <v>175.03</v>
      </c>
      <c r="G13" s="9">
        <v>166.28</v>
      </c>
      <c r="H13" s="10">
        <v>0.05</v>
      </c>
      <c r="I13" s="11">
        <v>0.13</v>
      </c>
      <c r="J13" s="12">
        <f t="shared" si="0"/>
        <v>187.9</v>
      </c>
      <c r="K13" s="13">
        <f t="shared" si="1"/>
        <v>0</v>
      </c>
      <c r="L13" s="14" t="str">
        <f t="shared" si="2"/>
        <v/>
      </c>
      <c r="M13" s="1">
        <f t="shared" si="3"/>
        <v>0</v>
      </c>
    </row>
    <row r="14" spans="1:13">
      <c r="A14" s="3" t="s">
        <v>21</v>
      </c>
      <c r="B14" s="4" t="s">
        <v>43</v>
      </c>
      <c r="C14" s="5" t="s">
        <v>44</v>
      </c>
      <c r="D14" s="6" t="s">
        <v>45</v>
      </c>
      <c r="E14" s="7">
        <v>0</v>
      </c>
      <c r="F14" s="8">
        <v>497.9</v>
      </c>
      <c r="G14" s="9">
        <v>448.11</v>
      </c>
      <c r="H14" s="10">
        <v>0.1</v>
      </c>
      <c r="I14" s="11">
        <v>0.13</v>
      </c>
      <c r="J14" s="12">
        <f t="shared" si="0"/>
        <v>506.36</v>
      </c>
      <c r="K14" s="13">
        <f t="shared" si="1"/>
        <v>0</v>
      </c>
      <c r="L14" s="14" t="str">
        <f t="shared" si="2"/>
        <v/>
      </c>
      <c r="M14" s="1">
        <f t="shared" si="3"/>
        <v>0</v>
      </c>
    </row>
    <row r="15" spans="1:13">
      <c r="A15" s="15" t="s">
        <v>21</v>
      </c>
      <c r="B15" s="16" t="s">
        <v>46</v>
      </c>
      <c r="C15" s="17" t="s">
        <v>47</v>
      </c>
      <c r="D15" s="16" t="s">
        <v>48</v>
      </c>
      <c r="E15" s="7">
        <v>0</v>
      </c>
      <c r="F15" s="18">
        <v>169.9</v>
      </c>
      <c r="G15" s="19"/>
      <c r="H15" s="19"/>
      <c r="I15" s="20">
        <v>0.13</v>
      </c>
      <c r="J15" s="21">
        <f t="shared" si="0"/>
        <v>191.99</v>
      </c>
      <c r="K15" s="22">
        <f t="shared" si="1"/>
        <v>0</v>
      </c>
      <c r="L15" s="23" t="str">
        <f t="shared" si="2"/>
        <v/>
      </c>
      <c r="M15" s="1">
        <f t="shared" si="3"/>
        <v>0</v>
      </c>
    </row>
    <row r="16" spans="1:13">
      <c r="A16" s="15" t="s">
        <v>21</v>
      </c>
      <c r="B16" s="16" t="s">
        <v>49</v>
      </c>
      <c r="C16" s="17" t="s">
        <v>50</v>
      </c>
      <c r="D16" s="16" t="s">
        <v>51</v>
      </c>
      <c r="E16" s="7">
        <v>0</v>
      </c>
      <c r="F16" s="18">
        <v>169.9</v>
      </c>
      <c r="G16" s="19"/>
      <c r="H16" s="19"/>
      <c r="I16" s="20">
        <v>0.13</v>
      </c>
      <c r="J16" s="21">
        <f t="shared" si="0"/>
        <v>191.99</v>
      </c>
      <c r="K16" s="22">
        <f t="shared" si="1"/>
        <v>0</v>
      </c>
      <c r="L16" s="23" t="str">
        <f t="shared" si="2"/>
        <v/>
      </c>
      <c r="M16" s="1">
        <f t="shared" si="3"/>
        <v>0</v>
      </c>
    </row>
    <row r="17" spans="1:13">
      <c r="A17" s="15" t="s">
        <v>52</v>
      </c>
      <c r="B17" s="16" t="s">
        <v>53</v>
      </c>
      <c r="C17" s="17" t="s">
        <v>54</v>
      </c>
      <c r="D17" s="16" t="s">
        <v>55</v>
      </c>
      <c r="E17" s="7">
        <v>0</v>
      </c>
      <c r="F17" s="18">
        <v>589</v>
      </c>
      <c r="G17" s="19"/>
      <c r="H17" s="19"/>
      <c r="I17" s="20">
        <v>0</v>
      </c>
      <c r="J17" s="21">
        <f t="shared" si="0"/>
        <v>589</v>
      </c>
      <c r="K17" s="22">
        <f t="shared" si="1"/>
        <v>0</v>
      </c>
      <c r="L17" s="23" t="str">
        <f t="shared" si="2"/>
        <v/>
      </c>
      <c r="M17" s="1">
        <f t="shared" si="3"/>
        <v>0</v>
      </c>
    </row>
    <row r="18" spans="1:13">
      <c r="A18" s="15" t="s">
        <v>52</v>
      </c>
      <c r="B18" s="16" t="s">
        <v>56</v>
      </c>
      <c r="C18" s="17" t="s">
        <v>57</v>
      </c>
      <c r="D18" s="16" t="s">
        <v>58</v>
      </c>
      <c r="E18" s="7">
        <v>0</v>
      </c>
      <c r="F18" s="18">
        <v>589</v>
      </c>
      <c r="G18" s="19"/>
      <c r="H18" s="19"/>
      <c r="I18" s="20">
        <v>0</v>
      </c>
      <c r="J18" s="21">
        <f t="shared" si="0"/>
        <v>589</v>
      </c>
      <c r="K18" s="22">
        <f t="shared" si="1"/>
        <v>0</v>
      </c>
      <c r="L18" s="23" t="str">
        <f t="shared" si="2"/>
        <v/>
      </c>
      <c r="M18" s="1">
        <f t="shared" si="3"/>
        <v>0</v>
      </c>
    </row>
    <row r="19" spans="1:13">
      <c r="A19" s="15" t="s">
        <v>59</v>
      </c>
      <c r="B19" s="16" t="s">
        <v>60</v>
      </c>
      <c r="C19" s="17" t="s">
        <v>61</v>
      </c>
      <c r="D19" s="16" t="s">
        <v>62</v>
      </c>
      <c r="E19" s="7">
        <v>0</v>
      </c>
      <c r="F19" s="18">
        <v>177</v>
      </c>
      <c r="G19" s="19"/>
      <c r="H19" s="19"/>
      <c r="I19" s="20">
        <v>0.13</v>
      </c>
      <c r="J19" s="21">
        <f t="shared" si="0"/>
        <v>200.01</v>
      </c>
      <c r="K19" s="22">
        <f t="shared" si="1"/>
        <v>0</v>
      </c>
      <c r="L19" s="23" t="str">
        <f t="shared" si="2"/>
        <v/>
      </c>
      <c r="M19" s="1">
        <f t="shared" si="3"/>
        <v>0</v>
      </c>
    </row>
    <row r="20" spans="1:13">
      <c r="A20" s="15" t="s">
        <v>59</v>
      </c>
      <c r="B20" s="16" t="s">
        <v>63</v>
      </c>
      <c r="C20" s="17" t="s">
        <v>64</v>
      </c>
      <c r="D20" s="16" t="s">
        <v>65</v>
      </c>
      <c r="E20" s="7">
        <v>0</v>
      </c>
      <c r="F20" s="18">
        <v>177</v>
      </c>
      <c r="G20" s="19"/>
      <c r="H20" s="19"/>
      <c r="I20" s="20">
        <v>0.13</v>
      </c>
      <c r="J20" s="21">
        <f t="shared" si="0"/>
        <v>200.01</v>
      </c>
      <c r="K20" s="22">
        <f t="shared" si="1"/>
        <v>0</v>
      </c>
      <c r="L20" s="23" t="str">
        <f t="shared" si="2"/>
        <v/>
      </c>
      <c r="M20" s="1">
        <f t="shared" si="3"/>
        <v>0</v>
      </c>
    </row>
    <row r="21" spans="1:13">
      <c r="A21" s="3" t="s">
        <v>59</v>
      </c>
      <c r="B21" s="4" t="s">
        <v>66</v>
      </c>
      <c r="C21" s="5" t="s">
        <v>67</v>
      </c>
      <c r="D21" s="6" t="s">
        <v>68</v>
      </c>
      <c r="E21" s="7">
        <v>0</v>
      </c>
      <c r="F21" s="8">
        <v>127.32</v>
      </c>
      <c r="G21" s="9">
        <v>99.9</v>
      </c>
      <c r="H21" s="10">
        <v>0.215</v>
      </c>
      <c r="I21" s="11">
        <v>0.13</v>
      </c>
      <c r="J21" s="12">
        <f t="shared" si="0"/>
        <v>112.89</v>
      </c>
      <c r="K21" s="13">
        <f t="shared" si="1"/>
        <v>0</v>
      </c>
      <c r="L21" s="14" t="str">
        <f t="shared" si="2"/>
        <v/>
      </c>
      <c r="M21" s="1">
        <f t="shared" si="3"/>
        <v>0</v>
      </c>
    </row>
    <row r="22" spans="1:13">
      <c r="A22" s="15" t="s">
        <v>59</v>
      </c>
      <c r="B22" s="16" t="s">
        <v>69</v>
      </c>
      <c r="C22" s="17" t="s">
        <v>70</v>
      </c>
      <c r="D22" s="16" t="s">
        <v>71</v>
      </c>
      <c r="E22" s="7">
        <v>0</v>
      </c>
      <c r="F22" s="18">
        <v>149.9</v>
      </c>
      <c r="G22" s="19"/>
      <c r="H22" s="19"/>
      <c r="I22" s="20">
        <v>0.13</v>
      </c>
      <c r="J22" s="21">
        <f t="shared" si="0"/>
        <v>169.39</v>
      </c>
      <c r="K22" s="22">
        <f t="shared" si="1"/>
        <v>0</v>
      </c>
      <c r="L22" s="23" t="str">
        <f t="shared" si="2"/>
        <v/>
      </c>
      <c r="M22" s="1">
        <f t="shared" si="3"/>
        <v>0</v>
      </c>
    </row>
    <row r="23" spans="1:13">
      <c r="A23" s="15" t="s">
        <v>59</v>
      </c>
      <c r="B23" s="16" t="s">
        <v>72</v>
      </c>
      <c r="C23" s="17" t="s">
        <v>73</v>
      </c>
      <c r="D23" s="16" t="s">
        <v>74</v>
      </c>
      <c r="E23" s="7">
        <v>0</v>
      </c>
      <c r="F23" s="18">
        <v>192.9</v>
      </c>
      <c r="G23" s="19"/>
      <c r="H23" s="19"/>
      <c r="I23" s="20">
        <v>0.13</v>
      </c>
      <c r="J23" s="21">
        <f t="shared" si="0"/>
        <v>217.98</v>
      </c>
      <c r="K23" s="22">
        <f t="shared" si="1"/>
        <v>0</v>
      </c>
      <c r="L23" s="23" t="str">
        <f t="shared" si="2"/>
        <v/>
      </c>
      <c r="M23" s="1">
        <f t="shared" si="3"/>
        <v>0</v>
      </c>
    </row>
    <row r="24" spans="1:13">
      <c r="A24" s="3" t="s">
        <v>59</v>
      </c>
      <c r="B24" s="4" t="s">
        <v>75</v>
      </c>
      <c r="C24" s="5" t="s">
        <v>76</v>
      </c>
      <c r="D24" s="6" t="s">
        <v>77</v>
      </c>
      <c r="E24" s="7">
        <v>0</v>
      </c>
      <c r="F24" s="8">
        <v>149.9</v>
      </c>
      <c r="G24" s="9">
        <v>99.9</v>
      </c>
      <c r="H24" s="10">
        <v>0.33400000000000002</v>
      </c>
      <c r="I24" s="11">
        <v>0.13</v>
      </c>
      <c r="J24" s="12">
        <f t="shared" si="0"/>
        <v>112.89</v>
      </c>
      <c r="K24" s="13">
        <f t="shared" si="1"/>
        <v>0</v>
      </c>
      <c r="L24" s="14" t="str">
        <f t="shared" si="2"/>
        <v/>
      </c>
      <c r="M24" s="1">
        <f t="shared" si="3"/>
        <v>0</v>
      </c>
    </row>
    <row r="25" spans="1:13">
      <c r="A25" s="3" t="s">
        <v>59</v>
      </c>
      <c r="B25" s="4" t="s">
        <v>78</v>
      </c>
      <c r="C25" s="5" t="s">
        <v>79</v>
      </c>
      <c r="D25" s="6" t="s">
        <v>80</v>
      </c>
      <c r="E25" s="7">
        <v>0</v>
      </c>
      <c r="F25" s="8">
        <v>142.9</v>
      </c>
      <c r="G25" s="9">
        <v>99.9</v>
      </c>
      <c r="H25" s="10">
        <v>0.30099999999999999</v>
      </c>
      <c r="I25" s="11">
        <v>0.13</v>
      </c>
      <c r="J25" s="12">
        <f t="shared" si="0"/>
        <v>112.89</v>
      </c>
      <c r="K25" s="13">
        <f t="shared" si="1"/>
        <v>0</v>
      </c>
      <c r="L25" s="14" t="str">
        <f t="shared" si="2"/>
        <v/>
      </c>
      <c r="M25" s="1">
        <f t="shared" si="3"/>
        <v>0</v>
      </c>
    </row>
    <row r="26" spans="1:13">
      <c r="A26" s="3" t="s">
        <v>59</v>
      </c>
      <c r="B26" s="4" t="s">
        <v>81</v>
      </c>
      <c r="C26" s="5" t="s">
        <v>82</v>
      </c>
      <c r="D26" s="6" t="s">
        <v>83</v>
      </c>
      <c r="E26" s="7">
        <v>0</v>
      </c>
      <c r="F26" s="8">
        <v>202.9</v>
      </c>
      <c r="G26" s="9">
        <v>149.9</v>
      </c>
      <c r="H26" s="10">
        <v>0.26100000000000001</v>
      </c>
      <c r="I26" s="11">
        <v>0.13</v>
      </c>
      <c r="J26" s="12">
        <f t="shared" si="0"/>
        <v>169.39</v>
      </c>
      <c r="K26" s="13">
        <f t="shared" si="1"/>
        <v>0</v>
      </c>
      <c r="L26" s="14" t="str">
        <f t="shared" si="2"/>
        <v/>
      </c>
      <c r="M26" s="1">
        <f t="shared" si="3"/>
        <v>0</v>
      </c>
    </row>
    <row r="27" spans="1:13">
      <c r="A27" s="3" t="s">
        <v>59</v>
      </c>
      <c r="B27" s="4" t="s">
        <v>84</v>
      </c>
      <c r="C27" s="5" t="s">
        <v>85</v>
      </c>
      <c r="D27" s="6" t="s">
        <v>86</v>
      </c>
      <c r="E27" s="7">
        <v>0</v>
      </c>
      <c r="F27" s="8">
        <v>178.6</v>
      </c>
      <c r="G27" s="9">
        <v>99.9</v>
      </c>
      <c r="H27" s="10">
        <v>0.441</v>
      </c>
      <c r="I27" s="11">
        <v>0.13</v>
      </c>
      <c r="J27" s="12">
        <f t="shared" si="0"/>
        <v>112.89</v>
      </c>
      <c r="K27" s="13">
        <f t="shared" si="1"/>
        <v>0</v>
      </c>
      <c r="L27" s="14" t="str">
        <f t="shared" si="2"/>
        <v/>
      </c>
      <c r="M27" s="1">
        <f t="shared" si="3"/>
        <v>0</v>
      </c>
    </row>
    <row r="28" spans="1:13">
      <c r="A28" s="15" t="s">
        <v>87</v>
      </c>
      <c r="B28" s="16" t="s">
        <v>88</v>
      </c>
      <c r="C28" s="17" t="s">
        <v>89</v>
      </c>
      <c r="D28" s="16" t="s">
        <v>90</v>
      </c>
      <c r="E28" s="7">
        <v>0</v>
      </c>
      <c r="F28" s="18">
        <v>87.9</v>
      </c>
      <c r="G28" s="19"/>
      <c r="H28" s="19"/>
      <c r="I28" s="20">
        <v>0.13</v>
      </c>
      <c r="J28" s="21">
        <f t="shared" si="0"/>
        <v>99.33</v>
      </c>
      <c r="K28" s="22">
        <f t="shared" si="1"/>
        <v>0</v>
      </c>
      <c r="L28" s="23" t="str">
        <f t="shared" si="2"/>
        <v/>
      </c>
      <c r="M28" s="1">
        <f t="shared" si="3"/>
        <v>0</v>
      </c>
    </row>
    <row r="29" spans="1:13">
      <c r="A29" s="15" t="s">
        <v>87</v>
      </c>
      <c r="B29" s="16" t="s">
        <v>91</v>
      </c>
      <c r="C29" s="17" t="s">
        <v>92</v>
      </c>
      <c r="D29" s="16" t="s">
        <v>93</v>
      </c>
      <c r="E29" s="7">
        <v>0</v>
      </c>
      <c r="F29" s="18">
        <v>87.9</v>
      </c>
      <c r="G29" s="19"/>
      <c r="H29" s="19"/>
      <c r="I29" s="20">
        <v>0.13</v>
      </c>
      <c r="J29" s="21">
        <f t="shared" si="0"/>
        <v>99.33</v>
      </c>
      <c r="K29" s="22">
        <f t="shared" si="1"/>
        <v>0</v>
      </c>
      <c r="L29" s="23" t="str">
        <f t="shared" si="2"/>
        <v/>
      </c>
      <c r="M29" s="1">
        <f t="shared" si="3"/>
        <v>0</v>
      </c>
    </row>
    <row r="30" spans="1:13">
      <c r="A30" s="15" t="s">
        <v>87</v>
      </c>
      <c r="B30" s="16" t="s">
        <v>94</v>
      </c>
      <c r="C30" s="17" t="s">
        <v>95</v>
      </c>
      <c r="D30" s="16" t="s">
        <v>96</v>
      </c>
      <c r="E30" s="7">
        <v>0</v>
      </c>
      <c r="F30" s="18">
        <v>125</v>
      </c>
      <c r="G30" s="19"/>
      <c r="H30" s="19"/>
      <c r="I30" s="20">
        <v>0.13</v>
      </c>
      <c r="J30" s="21">
        <f t="shared" si="0"/>
        <v>141.25</v>
      </c>
      <c r="K30" s="22">
        <f t="shared" si="1"/>
        <v>0</v>
      </c>
      <c r="L30" s="23" t="str">
        <f t="shared" si="2"/>
        <v/>
      </c>
      <c r="M30" s="1">
        <f t="shared" si="3"/>
        <v>0</v>
      </c>
    </row>
    <row r="31" spans="1:13">
      <c r="A31" s="15" t="s">
        <v>87</v>
      </c>
      <c r="B31" s="16" t="s">
        <v>97</v>
      </c>
      <c r="C31" s="17" t="s">
        <v>98</v>
      </c>
      <c r="D31" s="16" t="s">
        <v>99</v>
      </c>
      <c r="E31" s="7">
        <v>0</v>
      </c>
      <c r="F31" s="18">
        <v>172</v>
      </c>
      <c r="G31" s="19"/>
      <c r="H31" s="19"/>
      <c r="I31" s="20">
        <v>0.13</v>
      </c>
      <c r="J31" s="21">
        <f t="shared" si="0"/>
        <v>194.36</v>
      </c>
      <c r="K31" s="22">
        <f t="shared" si="1"/>
        <v>0</v>
      </c>
      <c r="L31" s="23" t="str">
        <f t="shared" si="2"/>
        <v/>
      </c>
      <c r="M31" s="1">
        <f t="shared" si="3"/>
        <v>0</v>
      </c>
    </row>
    <row r="32" spans="1:13">
      <c r="A32" s="3" t="s">
        <v>87</v>
      </c>
      <c r="B32" s="4" t="s">
        <v>100</v>
      </c>
      <c r="C32" s="5" t="s">
        <v>101</v>
      </c>
      <c r="D32" s="6" t="s">
        <v>102</v>
      </c>
      <c r="E32" s="7">
        <v>0</v>
      </c>
      <c r="F32" s="8">
        <v>229</v>
      </c>
      <c r="G32" s="9">
        <v>160.30000000000001</v>
      </c>
      <c r="H32" s="10">
        <v>0.3</v>
      </c>
      <c r="I32" s="11">
        <v>0.13</v>
      </c>
      <c r="J32" s="12">
        <f t="shared" si="0"/>
        <v>181.14</v>
      </c>
      <c r="K32" s="13">
        <f t="shared" si="1"/>
        <v>0</v>
      </c>
      <c r="L32" s="14" t="str">
        <f t="shared" si="2"/>
        <v/>
      </c>
      <c r="M32" s="1">
        <f t="shared" si="3"/>
        <v>0</v>
      </c>
    </row>
    <row r="33" spans="1:13">
      <c r="A33" s="15" t="s">
        <v>87</v>
      </c>
      <c r="B33" s="16" t="s">
        <v>103</v>
      </c>
      <c r="C33" s="17" t="s">
        <v>104</v>
      </c>
      <c r="D33" s="16" t="s">
        <v>105</v>
      </c>
      <c r="E33" s="7">
        <v>0</v>
      </c>
      <c r="F33" s="18">
        <v>122</v>
      </c>
      <c r="G33" s="19"/>
      <c r="H33" s="19"/>
      <c r="I33" s="20">
        <v>0.13</v>
      </c>
      <c r="J33" s="21">
        <f t="shared" si="0"/>
        <v>137.86000000000001</v>
      </c>
      <c r="K33" s="22">
        <f t="shared" si="1"/>
        <v>0</v>
      </c>
      <c r="L33" s="23" t="str">
        <f t="shared" si="2"/>
        <v/>
      </c>
      <c r="M33" s="1">
        <f t="shared" si="3"/>
        <v>0</v>
      </c>
    </row>
    <row r="34" spans="1:13">
      <c r="A34" s="15" t="s">
        <v>87</v>
      </c>
      <c r="B34" s="16" t="s">
        <v>106</v>
      </c>
      <c r="C34" s="17" t="s">
        <v>107</v>
      </c>
      <c r="D34" s="16" t="s">
        <v>108</v>
      </c>
      <c r="E34" s="7">
        <v>0</v>
      </c>
      <c r="F34" s="18">
        <v>167</v>
      </c>
      <c r="G34" s="19"/>
      <c r="H34" s="19"/>
      <c r="I34" s="20">
        <v>0.13</v>
      </c>
      <c r="J34" s="21">
        <f t="shared" si="0"/>
        <v>188.71</v>
      </c>
      <c r="K34" s="22">
        <f t="shared" si="1"/>
        <v>0</v>
      </c>
      <c r="L34" s="23" t="str">
        <f t="shared" si="2"/>
        <v/>
      </c>
      <c r="M34" s="1">
        <f t="shared" si="3"/>
        <v>0</v>
      </c>
    </row>
    <row r="35" spans="1:13">
      <c r="A35" s="15" t="s">
        <v>109</v>
      </c>
      <c r="B35" s="16" t="s">
        <v>110</v>
      </c>
      <c r="C35" s="17" t="s">
        <v>111</v>
      </c>
      <c r="D35" s="16" t="s">
        <v>112</v>
      </c>
      <c r="E35" s="7">
        <v>0</v>
      </c>
      <c r="F35" s="18">
        <v>66.900000000000006</v>
      </c>
      <c r="G35" s="19"/>
      <c r="H35" s="19"/>
      <c r="I35" s="20">
        <v>0.13</v>
      </c>
      <c r="J35" s="21">
        <f t="shared" si="0"/>
        <v>75.599999999999994</v>
      </c>
      <c r="K35" s="22">
        <f t="shared" si="1"/>
        <v>0</v>
      </c>
      <c r="L35" s="23" t="str">
        <f t="shared" si="2"/>
        <v/>
      </c>
      <c r="M35" s="1">
        <f t="shared" si="3"/>
        <v>0</v>
      </c>
    </row>
    <row r="36" spans="1:13">
      <c r="A36" s="15" t="s">
        <v>109</v>
      </c>
      <c r="B36" s="16" t="s">
        <v>113</v>
      </c>
      <c r="C36" s="17" t="s">
        <v>114</v>
      </c>
      <c r="D36" s="16" t="s">
        <v>115</v>
      </c>
      <c r="E36" s="7">
        <v>0</v>
      </c>
      <c r="F36" s="18">
        <v>79.900000000000006</v>
      </c>
      <c r="G36" s="19"/>
      <c r="H36" s="19"/>
      <c r="I36" s="20">
        <v>0.13</v>
      </c>
      <c r="J36" s="21">
        <f t="shared" si="0"/>
        <v>90.29</v>
      </c>
      <c r="K36" s="22">
        <f t="shared" si="1"/>
        <v>0</v>
      </c>
      <c r="L36" s="23" t="str">
        <f t="shared" si="2"/>
        <v/>
      </c>
      <c r="M36" s="1">
        <f t="shared" si="3"/>
        <v>0</v>
      </c>
    </row>
    <row r="37" spans="1:13">
      <c r="A37" s="15" t="s">
        <v>109</v>
      </c>
      <c r="B37" s="16" t="s">
        <v>116</v>
      </c>
      <c r="C37" s="17" t="s">
        <v>117</v>
      </c>
      <c r="D37" s="16" t="s">
        <v>118</v>
      </c>
      <c r="E37" s="7">
        <v>0</v>
      </c>
      <c r="F37" s="18">
        <v>72.900000000000006</v>
      </c>
      <c r="G37" s="19"/>
      <c r="H37" s="19"/>
      <c r="I37" s="20">
        <v>0.13</v>
      </c>
      <c r="J37" s="21">
        <f t="shared" si="0"/>
        <v>82.38</v>
      </c>
      <c r="K37" s="22">
        <f t="shared" si="1"/>
        <v>0</v>
      </c>
      <c r="L37" s="23" t="str">
        <f t="shared" si="2"/>
        <v/>
      </c>
      <c r="M37" s="1">
        <f t="shared" si="3"/>
        <v>0</v>
      </c>
    </row>
    <row r="38" spans="1:13">
      <c r="A38" s="15" t="s">
        <v>119</v>
      </c>
      <c r="B38" s="16" t="s">
        <v>120</v>
      </c>
      <c r="C38" s="17" t="s">
        <v>121</v>
      </c>
      <c r="D38" s="16" t="s">
        <v>122</v>
      </c>
      <c r="E38" s="7">
        <v>0</v>
      </c>
      <c r="F38" s="18">
        <v>29.9</v>
      </c>
      <c r="G38" s="19"/>
      <c r="H38" s="19"/>
      <c r="I38" s="20">
        <v>0.13</v>
      </c>
      <c r="J38" s="21">
        <f t="shared" si="0"/>
        <v>33.79</v>
      </c>
      <c r="K38" s="22">
        <f t="shared" si="1"/>
        <v>0</v>
      </c>
      <c r="L38" s="23" t="str">
        <f>IF($E38="","",IF(NOT(ISNUMBER($E38)),"⚠ QUANTIDADE INVÁLIDA",IF(OR($E38&lt;0,$E38&lt;&gt;INT($E38)),"⚠ QUANTIDADE INVÁLIDA",IF($E38=0,"",IF(AND($E38&gt;=4,MOD($E38,2)=0),"","⚠ FORA DO PADRÃO (mín. 4, caixas de 2)")))))</f>
        <v/>
      </c>
      <c r="M38" s="1">
        <f t="shared" si="3"/>
        <v>0</v>
      </c>
    </row>
    <row r="39" spans="1:13">
      <c r="A39" s="15" t="s">
        <v>119</v>
      </c>
      <c r="B39" s="16" t="s">
        <v>123</v>
      </c>
      <c r="C39" s="17" t="s">
        <v>124</v>
      </c>
      <c r="D39" s="16" t="s">
        <v>125</v>
      </c>
      <c r="E39" s="7">
        <v>0</v>
      </c>
      <c r="F39" s="18">
        <v>29.9</v>
      </c>
      <c r="G39" s="19"/>
      <c r="H39" s="19"/>
      <c r="I39" s="20">
        <v>0.13</v>
      </c>
      <c r="J39" s="21">
        <f t="shared" ref="J39:J70" si="4">ROUND(IF($G39&lt;&gt;"",$G39,$F39)*(1+$I39),2)</f>
        <v>33.79</v>
      </c>
      <c r="K39" s="22">
        <f t="shared" ref="K39:K70" si="5">$M39*$J39</f>
        <v>0</v>
      </c>
      <c r="L39" s="23" t="str">
        <f>IF($E39="","",IF(NOT(ISNUMBER($E39)),"⚠ QUANTIDADE INVÁLIDA",IF(OR($E39&lt;0,$E39&lt;&gt;INT($E39)),"⚠ QUANTIDADE INVÁLIDA",IF($E39=0,"",IF(AND($E39&gt;=4,MOD($E39,2)=0),"","⚠ FORA DO PADRÃO (mín. 4, caixas de 2)")))))</f>
        <v/>
      </c>
      <c r="M39" s="1">
        <f t="shared" ref="M39:M70" si="6">IF(ISNUMBER($E39),IF(AND($E39&gt;=0,$E39=INT($E39)),$E39,0),0)</f>
        <v>0</v>
      </c>
    </row>
    <row r="40" spans="1:13">
      <c r="A40" s="15" t="s">
        <v>126</v>
      </c>
      <c r="B40" s="16" t="s">
        <v>127</v>
      </c>
      <c r="C40" s="17" t="s">
        <v>128</v>
      </c>
      <c r="D40" s="16" t="s">
        <v>129</v>
      </c>
      <c r="E40" s="7">
        <v>0</v>
      </c>
      <c r="F40" s="18">
        <v>169.31</v>
      </c>
      <c r="G40" s="19"/>
      <c r="H40" s="19"/>
      <c r="I40" s="20">
        <v>0.13</v>
      </c>
      <c r="J40" s="21">
        <f t="shared" si="4"/>
        <v>191.32</v>
      </c>
      <c r="K40" s="22">
        <f t="shared" si="5"/>
        <v>0</v>
      </c>
      <c r="L40" s="23" t="str">
        <f t="shared" ref="L40:L53" si="7">IF($E40="","",IF(NOT(ISNUMBER($E40)),"⚠ QUANTIDADE INVÁLIDA",IF(OR($E40&lt;0,$E40&lt;&gt;INT($E40)),"⚠ QUANTIDADE INVÁLIDA",IF($E40=0,"",IF($E40&lt;4,"⚠ ABAIXO DO MÍNIMO (4 un.)","")))))</f>
        <v/>
      </c>
      <c r="M40" s="1">
        <f t="shared" si="6"/>
        <v>0</v>
      </c>
    </row>
    <row r="41" spans="1:13">
      <c r="A41" s="15" t="s">
        <v>126</v>
      </c>
      <c r="B41" s="16" t="s">
        <v>130</v>
      </c>
      <c r="C41" s="17" t="s">
        <v>131</v>
      </c>
      <c r="D41" s="16" t="s">
        <v>132</v>
      </c>
      <c r="E41" s="7">
        <v>0</v>
      </c>
      <c r="F41" s="18">
        <v>147</v>
      </c>
      <c r="G41" s="19"/>
      <c r="H41" s="19"/>
      <c r="I41" s="20">
        <v>0.13</v>
      </c>
      <c r="J41" s="21">
        <f t="shared" si="4"/>
        <v>166.11</v>
      </c>
      <c r="K41" s="22">
        <f t="shared" si="5"/>
        <v>0</v>
      </c>
      <c r="L41" s="23" t="str">
        <f t="shared" si="7"/>
        <v/>
      </c>
      <c r="M41" s="1">
        <f t="shared" si="6"/>
        <v>0</v>
      </c>
    </row>
    <row r="42" spans="1:13">
      <c r="A42" s="15" t="s">
        <v>126</v>
      </c>
      <c r="B42" s="16" t="s">
        <v>133</v>
      </c>
      <c r="C42" s="17" t="s">
        <v>134</v>
      </c>
      <c r="D42" s="16" t="s">
        <v>135</v>
      </c>
      <c r="E42" s="7">
        <v>0</v>
      </c>
      <c r="F42" s="18">
        <v>164.7</v>
      </c>
      <c r="G42" s="19"/>
      <c r="H42" s="19"/>
      <c r="I42" s="20">
        <v>0.13</v>
      </c>
      <c r="J42" s="21">
        <f t="shared" si="4"/>
        <v>186.11</v>
      </c>
      <c r="K42" s="22">
        <f t="shared" si="5"/>
        <v>0</v>
      </c>
      <c r="L42" s="23" t="str">
        <f t="shared" si="7"/>
        <v/>
      </c>
      <c r="M42" s="1">
        <f t="shared" si="6"/>
        <v>0</v>
      </c>
    </row>
    <row r="43" spans="1:13">
      <c r="A43" s="15" t="s">
        <v>126</v>
      </c>
      <c r="B43" s="16" t="s">
        <v>136</v>
      </c>
      <c r="C43" s="17" t="s">
        <v>137</v>
      </c>
      <c r="D43" s="16" t="s">
        <v>138</v>
      </c>
      <c r="E43" s="7">
        <v>0</v>
      </c>
      <c r="F43" s="18">
        <v>147</v>
      </c>
      <c r="G43" s="19"/>
      <c r="H43" s="19"/>
      <c r="I43" s="20">
        <v>0.13</v>
      </c>
      <c r="J43" s="21">
        <f t="shared" si="4"/>
        <v>166.11</v>
      </c>
      <c r="K43" s="22">
        <f t="shared" si="5"/>
        <v>0</v>
      </c>
      <c r="L43" s="23" t="str">
        <f t="shared" si="7"/>
        <v/>
      </c>
      <c r="M43" s="1">
        <f t="shared" si="6"/>
        <v>0</v>
      </c>
    </row>
    <row r="44" spans="1:13">
      <c r="A44" s="15" t="s">
        <v>126</v>
      </c>
      <c r="B44" s="16" t="s">
        <v>139</v>
      </c>
      <c r="C44" s="17" t="s">
        <v>140</v>
      </c>
      <c r="D44" s="16" t="s">
        <v>141</v>
      </c>
      <c r="E44" s="7">
        <v>0</v>
      </c>
      <c r="F44" s="18">
        <v>159.9</v>
      </c>
      <c r="G44" s="19"/>
      <c r="H44" s="19"/>
      <c r="I44" s="20">
        <v>0.13</v>
      </c>
      <c r="J44" s="21">
        <f t="shared" si="4"/>
        <v>180.69</v>
      </c>
      <c r="K44" s="22">
        <f t="shared" si="5"/>
        <v>0</v>
      </c>
      <c r="L44" s="23" t="str">
        <f t="shared" si="7"/>
        <v/>
      </c>
      <c r="M44" s="1">
        <f t="shared" si="6"/>
        <v>0</v>
      </c>
    </row>
    <row r="45" spans="1:13">
      <c r="A45" s="15" t="s">
        <v>126</v>
      </c>
      <c r="B45" s="16" t="s">
        <v>142</v>
      </c>
      <c r="C45" s="17" t="s">
        <v>143</v>
      </c>
      <c r="D45" s="16" t="s">
        <v>144</v>
      </c>
      <c r="E45" s="7">
        <v>0</v>
      </c>
      <c r="F45" s="18">
        <v>166.24</v>
      </c>
      <c r="G45" s="19"/>
      <c r="H45" s="19"/>
      <c r="I45" s="20">
        <v>0.13</v>
      </c>
      <c r="J45" s="21">
        <f t="shared" si="4"/>
        <v>187.85</v>
      </c>
      <c r="K45" s="22">
        <f t="shared" si="5"/>
        <v>0</v>
      </c>
      <c r="L45" s="23" t="str">
        <f t="shared" si="7"/>
        <v/>
      </c>
      <c r="M45" s="1">
        <f t="shared" si="6"/>
        <v>0</v>
      </c>
    </row>
    <row r="46" spans="1:13">
      <c r="A46" s="15" t="s">
        <v>126</v>
      </c>
      <c r="B46" s="16" t="s">
        <v>145</v>
      </c>
      <c r="C46" s="17" t="s">
        <v>146</v>
      </c>
      <c r="D46" s="16" t="s">
        <v>147</v>
      </c>
      <c r="E46" s="7">
        <v>0</v>
      </c>
      <c r="F46" s="18">
        <v>232</v>
      </c>
      <c r="G46" s="19"/>
      <c r="H46" s="19"/>
      <c r="I46" s="20">
        <v>0.13</v>
      </c>
      <c r="J46" s="21">
        <f t="shared" si="4"/>
        <v>262.16000000000003</v>
      </c>
      <c r="K46" s="22">
        <f t="shared" si="5"/>
        <v>0</v>
      </c>
      <c r="L46" s="23" t="str">
        <f t="shared" si="7"/>
        <v/>
      </c>
      <c r="M46" s="1">
        <f t="shared" si="6"/>
        <v>0</v>
      </c>
    </row>
    <row r="47" spans="1:13">
      <c r="A47" s="15" t="s">
        <v>126</v>
      </c>
      <c r="B47" s="16" t="s">
        <v>148</v>
      </c>
      <c r="C47" s="17" t="s">
        <v>149</v>
      </c>
      <c r="D47" s="16" t="s">
        <v>150</v>
      </c>
      <c r="E47" s="7">
        <v>0</v>
      </c>
      <c r="F47" s="18">
        <v>179</v>
      </c>
      <c r="G47" s="19"/>
      <c r="H47" s="19"/>
      <c r="I47" s="20">
        <v>0.13</v>
      </c>
      <c r="J47" s="21">
        <f t="shared" si="4"/>
        <v>202.27</v>
      </c>
      <c r="K47" s="22">
        <f t="shared" si="5"/>
        <v>0</v>
      </c>
      <c r="L47" s="23" t="str">
        <f t="shared" si="7"/>
        <v/>
      </c>
      <c r="M47" s="1">
        <f t="shared" si="6"/>
        <v>0</v>
      </c>
    </row>
    <row r="48" spans="1:13">
      <c r="A48" s="3" t="s">
        <v>151</v>
      </c>
      <c r="B48" s="4" t="s">
        <v>152</v>
      </c>
      <c r="C48" s="5" t="s">
        <v>153</v>
      </c>
      <c r="D48" s="6" t="s">
        <v>154</v>
      </c>
      <c r="E48" s="7">
        <v>0</v>
      </c>
      <c r="F48" s="8">
        <v>133</v>
      </c>
      <c r="G48" s="9">
        <v>117.04</v>
      </c>
      <c r="H48" s="10">
        <v>0.12</v>
      </c>
      <c r="I48" s="11">
        <v>0.13</v>
      </c>
      <c r="J48" s="12">
        <f t="shared" si="4"/>
        <v>132.26</v>
      </c>
      <c r="K48" s="13">
        <f t="shared" si="5"/>
        <v>0</v>
      </c>
      <c r="L48" s="14" t="str">
        <f t="shared" si="7"/>
        <v/>
      </c>
      <c r="M48" s="1">
        <f t="shared" si="6"/>
        <v>0</v>
      </c>
    </row>
    <row r="49" spans="1:13">
      <c r="A49" s="3" t="s">
        <v>151</v>
      </c>
      <c r="B49" s="4" t="s">
        <v>155</v>
      </c>
      <c r="C49" s="5" t="s">
        <v>156</v>
      </c>
      <c r="D49" s="6" t="s">
        <v>157</v>
      </c>
      <c r="E49" s="7">
        <v>0</v>
      </c>
      <c r="F49" s="8">
        <v>133</v>
      </c>
      <c r="G49" s="9">
        <v>117.04</v>
      </c>
      <c r="H49" s="10">
        <v>0.12</v>
      </c>
      <c r="I49" s="11">
        <v>0.13</v>
      </c>
      <c r="J49" s="12">
        <f t="shared" si="4"/>
        <v>132.26</v>
      </c>
      <c r="K49" s="13">
        <f t="shared" si="5"/>
        <v>0</v>
      </c>
      <c r="L49" s="14" t="str">
        <f t="shared" si="7"/>
        <v/>
      </c>
      <c r="M49" s="1">
        <f t="shared" si="6"/>
        <v>0</v>
      </c>
    </row>
    <row r="50" spans="1:13">
      <c r="A50" s="3" t="s">
        <v>151</v>
      </c>
      <c r="B50" s="4" t="s">
        <v>158</v>
      </c>
      <c r="C50" s="5" t="s">
        <v>159</v>
      </c>
      <c r="D50" s="6" t="s">
        <v>160</v>
      </c>
      <c r="E50" s="7">
        <v>0</v>
      </c>
      <c r="F50" s="8">
        <v>149</v>
      </c>
      <c r="G50" s="9">
        <v>131.12</v>
      </c>
      <c r="H50" s="10">
        <v>0.12</v>
      </c>
      <c r="I50" s="11">
        <v>0.13</v>
      </c>
      <c r="J50" s="12">
        <f t="shared" si="4"/>
        <v>148.16999999999999</v>
      </c>
      <c r="K50" s="13">
        <f t="shared" si="5"/>
        <v>0</v>
      </c>
      <c r="L50" s="14" t="str">
        <f t="shared" si="7"/>
        <v/>
      </c>
      <c r="M50" s="1">
        <f t="shared" si="6"/>
        <v>0</v>
      </c>
    </row>
    <row r="51" spans="1:13">
      <c r="A51" s="3" t="s">
        <v>151</v>
      </c>
      <c r="B51" s="4" t="s">
        <v>161</v>
      </c>
      <c r="C51" s="5" t="s">
        <v>162</v>
      </c>
      <c r="D51" s="6" t="s">
        <v>163</v>
      </c>
      <c r="E51" s="7">
        <v>0</v>
      </c>
      <c r="F51" s="8">
        <v>215</v>
      </c>
      <c r="G51" s="9">
        <v>189.2</v>
      </c>
      <c r="H51" s="10">
        <v>0.12</v>
      </c>
      <c r="I51" s="11">
        <v>0.13</v>
      </c>
      <c r="J51" s="12">
        <f t="shared" si="4"/>
        <v>213.8</v>
      </c>
      <c r="K51" s="13">
        <f t="shared" si="5"/>
        <v>0</v>
      </c>
      <c r="L51" s="14" t="str">
        <f t="shared" si="7"/>
        <v/>
      </c>
      <c r="M51" s="1">
        <f t="shared" si="6"/>
        <v>0</v>
      </c>
    </row>
    <row r="52" spans="1:13">
      <c r="A52" s="3" t="s">
        <v>151</v>
      </c>
      <c r="B52" s="4" t="s">
        <v>164</v>
      </c>
      <c r="C52" s="5" t="s">
        <v>165</v>
      </c>
      <c r="D52" s="6" t="s">
        <v>166</v>
      </c>
      <c r="E52" s="7">
        <v>0</v>
      </c>
      <c r="F52" s="8">
        <v>171</v>
      </c>
      <c r="G52" s="9">
        <v>150.47999999999999</v>
      </c>
      <c r="H52" s="10">
        <v>0.12</v>
      </c>
      <c r="I52" s="11">
        <v>0.13</v>
      </c>
      <c r="J52" s="12">
        <f t="shared" si="4"/>
        <v>170.04</v>
      </c>
      <c r="K52" s="13">
        <f t="shared" si="5"/>
        <v>0</v>
      </c>
      <c r="L52" s="14" t="str">
        <f t="shared" si="7"/>
        <v/>
      </c>
      <c r="M52" s="1">
        <f t="shared" si="6"/>
        <v>0</v>
      </c>
    </row>
    <row r="53" spans="1:13">
      <c r="A53" s="3" t="s">
        <v>151</v>
      </c>
      <c r="B53" s="4" t="s">
        <v>167</v>
      </c>
      <c r="C53" s="5" t="s">
        <v>168</v>
      </c>
      <c r="D53" s="6" t="s">
        <v>169</v>
      </c>
      <c r="E53" s="7">
        <v>0</v>
      </c>
      <c r="F53" s="8">
        <v>164</v>
      </c>
      <c r="G53" s="9">
        <v>144.32</v>
      </c>
      <c r="H53" s="10">
        <v>0.12</v>
      </c>
      <c r="I53" s="11">
        <v>0.13</v>
      </c>
      <c r="J53" s="12">
        <f t="shared" si="4"/>
        <v>163.08000000000001</v>
      </c>
      <c r="K53" s="13">
        <f t="shared" si="5"/>
        <v>0</v>
      </c>
      <c r="L53" s="14" t="str">
        <f t="shared" si="7"/>
        <v/>
      </c>
      <c r="M53" s="1">
        <f t="shared" si="6"/>
        <v>0</v>
      </c>
    </row>
    <row r="54" spans="1:13">
      <c r="A54" s="3" t="s">
        <v>170</v>
      </c>
      <c r="B54" s="4" t="s">
        <v>171</v>
      </c>
      <c r="C54" s="5" t="s">
        <v>172</v>
      </c>
      <c r="D54" s="6" t="s">
        <v>173</v>
      </c>
      <c r="E54" s="7">
        <v>0</v>
      </c>
      <c r="F54" s="8">
        <v>195.9</v>
      </c>
      <c r="G54" s="9">
        <v>186.1</v>
      </c>
      <c r="H54" s="10">
        <v>0.05</v>
      </c>
      <c r="I54" s="11">
        <v>0.13</v>
      </c>
      <c r="J54" s="12">
        <f t="shared" si="4"/>
        <v>210.29</v>
      </c>
      <c r="K54" s="13">
        <f t="shared" si="5"/>
        <v>0</v>
      </c>
      <c r="L54" s="14" t="str">
        <f>IF($E54="","",IF(NOT(ISNUMBER($E54)),"⚠ QUANTIDADE INVÁLIDA",IF(OR($E54&lt;0,$E54&lt;&gt;INT($E54)),"⚠ QUANTIDADE INVÁLIDA",IF($E54=0,"",IF($E54&lt;6,"⚠ ABAIXO DO MÍNIMO (6 un.)","")))))</f>
        <v/>
      </c>
      <c r="M54" s="1">
        <f t="shared" si="6"/>
        <v>0</v>
      </c>
    </row>
    <row r="55" spans="1:13">
      <c r="A55" s="3" t="s">
        <v>170</v>
      </c>
      <c r="B55" s="4" t="s">
        <v>174</v>
      </c>
      <c r="C55" s="5" t="s">
        <v>175</v>
      </c>
      <c r="D55" s="6" t="s">
        <v>176</v>
      </c>
      <c r="E55" s="7">
        <v>0</v>
      </c>
      <c r="F55" s="8">
        <v>197.6</v>
      </c>
      <c r="G55" s="9">
        <v>187.72</v>
      </c>
      <c r="H55" s="10">
        <v>0.05</v>
      </c>
      <c r="I55" s="11">
        <v>0.13</v>
      </c>
      <c r="J55" s="12">
        <f t="shared" si="4"/>
        <v>212.12</v>
      </c>
      <c r="K55" s="13">
        <f t="shared" si="5"/>
        <v>0</v>
      </c>
      <c r="L55" s="14" t="str">
        <f>IF($E55="","",IF(NOT(ISNUMBER($E55)),"⚠ QUANTIDADE INVÁLIDA",IF(OR($E55&lt;0,$E55&lt;&gt;INT($E55)),"⚠ QUANTIDADE INVÁLIDA",IF($E55=0,"",IF($E55&lt;6,"⚠ ABAIXO DO MÍNIMO (6 un.)","")))))</f>
        <v/>
      </c>
      <c r="M55" s="1">
        <f t="shared" si="6"/>
        <v>0</v>
      </c>
    </row>
    <row r="56" spans="1:13">
      <c r="A56" s="3" t="s">
        <v>177</v>
      </c>
      <c r="B56" s="4" t="s">
        <v>178</v>
      </c>
      <c r="C56" s="5" t="s">
        <v>179</v>
      </c>
      <c r="D56" s="6" t="s">
        <v>180</v>
      </c>
      <c r="E56" s="7">
        <v>0</v>
      </c>
      <c r="F56" s="8">
        <v>40.89</v>
      </c>
      <c r="G56" s="9">
        <v>38.9</v>
      </c>
      <c r="H56" s="10">
        <v>4.9000000000000002E-2</v>
      </c>
      <c r="I56" s="11">
        <v>0</v>
      </c>
      <c r="J56" s="12">
        <f t="shared" si="4"/>
        <v>38.9</v>
      </c>
      <c r="K56" s="13">
        <f t="shared" si="5"/>
        <v>0</v>
      </c>
      <c r="L56" s="14" t="str">
        <f t="shared" ref="L56:L80" si="8">IF($E56="","",IF(NOT(ISNUMBER($E56)),"⚠ QUANTIDADE INVÁLIDA",IF(OR($E56&lt;0,$E56&lt;&gt;INT($E56)),"⚠ QUANTIDADE INVÁLIDA",IF($E56=0,"",IF(AND($E56&gt;=12,MOD($E56,12)=0),"","⚠ NÃO FECHA CAIXA (múltiplos de 12)")))))</f>
        <v/>
      </c>
      <c r="M56" s="1">
        <f t="shared" si="6"/>
        <v>0</v>
      </c>
    </row>
    <row r="57" spans="1:13">
      <c r="A57" s="15" t="s">
        <v>177</v>
      </c>
      <c r="B57" s="16" t="s">
        <v>181</v>
      </c>
      <c r="C57" s="17" t="s">
        <v>182</v>
      </c>
      <c r="D57" s="16" t="s">
        <v>183</v>
      </c>
      <c r="E57" s="7">
        <v>0</v>
      </c>
      <c r="F57" s="18">
        <v>42.58</v>
      </c>
      <c r="G57" s="19"/>
      <c r="H57" s="19"/>
      <c r="I57" s="20">
        <v>0</v>
      </c>
      <c r="J57" s="21">
        <f t="shared" si="4"/>
        <v>42.58</v>
      </c>
      <c r="K57" s="22">
        <f t="shared" si="5"/>
        <v>0</v>
      </c>
      <c r="L57" s="23" t="str">
        <f t="shared" si="8"/>
        <v/>
      </c>
      <c r="M57" s="1">
        <f t="shared" si="6"/>
        <v>0</v>
      </c>
    </row>
    <row r="58" spans="1:13">
      <c r="A58" s="15" t="s">
        <v>177</v>
      </c>
      <c r="B58" s="16" t="s">
        <v>184</v>
      </c>
      <c r="C58" s="17" t="s">
        <v>185</v>
      </c>
      <c r="D58" s="16" t="s">
        <v>186</v>
      </c>
      <c r="E58" s="7">
        <v>0</v>
      </c>
      <c r="F58" s="18">
        <v>42.58</v>
      </c>
      <c r="G58" s="19"/>
      <c r="H58" s="19"/>
      <c r="I58" s="20">
        <v>0</v>
      </c>
      <c r="J58" s="21">
        <f t="shared" si="4"/>
        <v>42.58</v>
      </c>
      <c r="K58" s="22">
        <f t="shared" si="5"/>
        <v>0</v>
      </c>
      <c r="L58" s="23" t="str">
        <f t="shared" si="8"/>
        <v/>
      </c>
      <c r="M58" s="1">
        <f t="shared" si="6"/>
        <v>0</v>
      </c>
    </row>
    <row r="59" spans="1:13">
      <c r="A59" s="3" t="s">
        <v>177</v>
      </c>
      <c r="B59" s="4" t="s">
        <v>187</v>
      </c>
      <c r="C59" s="5" t="s">
        <v>188</v>
      </c>
      <c r="D59" s="6" t="s">
        <v>189</v>
      </c>
      <c r="E59" s="7">
        <v>0</v>
      </c>
      <c r="F59" s="8">
        <v>43</v>
      </c>
      <c r="G59" s="9">
        <v>37.9</v>
      </c>
      <c r="H59" s="10">
        <v>0.11899999999999999</v>
      </c>
      <c r="I59" s="11">
        <v>0</v>
      </c>
      <c r="J59" s="12">
        <f t="shared" si="4"/>
        <v>37.9</v>
      </c>
      <c r="K59" s="13">
        <f t="shared" si="5"/>
        <v>0</v>
      </c>
      <c r="L59" s="14" t="str">
        <f t="shared" si="8"/>
        <v/>
      </c>
      <c r="M59" s="1">
        <f t="shared" si="6"/>
        <v>0</v>
      </c>
    </row>
    <row r="60" spans="1:13">
      <c r="A60" s="15" t="s">
        <v>177</v>
      </c>
      <c r="B60" s="16" t="s">
        <v>190</v>
      </c>
      <c r="C60" s="17" t="s">
        <v>191</v>
      </c>
      <c r="D60" s="16" t="s">
        <v>192</v>
      </c>
      <c r="E60" s="7">
        <v>0</v>
      </c>
      <c r="F60" s="18">
        <v>18</v>
      </c>
      <c r="G60" s="19"/>
      <c r="H60" s="19"/>
      <c r="I60" s="20">
        <v>0</v>
      </c>
      <c r="J60" s="21">
        <f t="shared" si="4"/>
        <v>18</v>
      </c>
      <c r="K60" s="22">
        <f t="shared" si="5"/>
        <v>0</v>
      </c>
      <c r="L60" s="23" t="str">
        <f t="shared" si="8"/>
        <v/>
      </c>
      <c r="M60" s="1">
        <f t="shared" si="6"/>
        <v>0</v>
      </c>
    </row>
    <row r="61" spans="1:13">
      <c r="A61" s="15" t="s">
        <v>193</v>
      </c>
      <c r="B61" s="16" t="s">
        <v>194</v>
      </c>
      <c r="C61" s="17" t="s">
        <v>195</v>
      </c>
      <c r="D61" s="16" t="s">
        <v>196</v>
      </c>
      <c r="E61" s="7">
        <v>0</v>
      </c>
      <c r="F61" s="18">
        <v>53.9</v>
      </c>
      <c r="G61" s="19"/>
      <c r="H61" s="19"/>
      <c r="I61" s="20">
        <v>0</v>
      </c>
      <c r="J61" s="21">
        <f t="shared" si="4"/>
        <v>53.9</v>
      </c>
      <c r="K61" s="22">
        <f t="shared" si="5"/>
        <v>0</v>
      </c>
      <c r="L61" s="23" t="str">
        <f t="shared" si="8"/>
        <v/>
      </c>
      <c r="M61" s="1">
        <f t="shared" si="6"/>
        <v>0</v>
      </c>
    </row>
    <row r="62" spans="1:13">
      <c r="A62" s="15" t="s">
        <v>193</v>
      </c>
      <c r="B62" s="16" t="s">
        <v>197</v>
      </c>
      <c r="C62" s="17" t="s">
        <v>198</v>
      </c>
      <c r="D62" s="16" t="s">
        <v>199</v>
      </c>
      <c r="E62" s="7">
        <v>0</v>
      </c>
      <c r="F62" s="18">
        <v>47.9</v>
      </c>
      <c r="G62" s="19"/>
      <c r="H62" s="19"/>
      <c r="I62" s="20">
        <v>0</v>
      </c>
      <c r="J62" s="21">
        <f t="shared" si="4"/>
        <v>47.9</v>
      </c>
      <c r="K62" s="22">
        <f t="shared" si="5"/>
        <v>0</v>
      </c>
      <c r="L62" s="23" t="str">
        <f t="shared" si="8"/>
        <v/>
      </c>
      <c r="M62" s="1">
        <f t="shared" si="6"/>
        <v>0</v>
      </c>
    </row>
    <row r="63" spans="1:13">
      <c r="A63" s="15" t="s">
        <v>193</v>
      </c>
      <c r="B63" s="16" t="s">
        <v>200</v>
      </c>
      <c r="C63" s="17" t="s">
        <v>201</v>
      </c>
      <c r="D63" s="16" t="s">
        <v>202</v>
      </c>
      <c r="E63" s="7">
        <v>0</v>
      </c>
      <c r="F63" s="18">
        <v>47.9</v>
      </c>
      <c r="G63" s="19"/>
      <c r="H63" s="19"/>
      <c r="I63" s="20">
        <v>0</v>
      </c>
      <c r="J63" s="21">
        <f t="shared" si="4"/>
        <v>47.9</v>
      </c>
      <c r="K63" s="22">
        <f t="shared" si="5"/>
        <v>0</v>
      </c>
      <c r="L63" s="23" t="str">
        <f t="shared" si="8"/>
        <v/>
      </c>
      <c r="M63" s="1">
        <f t="shared" si="6"/>
        <v>0</v>
      </c>
    </row>
    <row r="64" spans="1:13">
      <c r="A64" s="3" t="s">
        <v>193</v>
      </c>
      <c r="B64" s="4" t="s">
        <v>203</v>
      </c>
      <c r="C64" s="5" t="s">
        <v>204</v>
      </c>
      <c r="D64" s="6" t="s">
        <v>205</v>
      </c>
      <c r="E64" s="7">
        <v>0</v>
      </c>
      <c r="F64" s="8">
        <v>35.99</v>
      </c>
      <c r="G64" s="9">
        <v>29.9</v>
      </c>
      <c r="H64" s="10">
        <v>0.16900000000000001</v>
      </c>
      <c r="I64" s="11">
        <v>0</v>
      </c>
      <c r="J64" s="12">
        <f t="shared" si="4"/>
        <v>29.9</v>
      </c>
      <c r="K64" s="13">
        <f t="shared" si="5"/>
        <v>0</v>
      </c>
      <c r="L64" s="14" t="str">
        <f t="shared" si="8"/>
        <v/>
      </c>
      <c r="M64" s="1">
        <f t="shared" si="6"/>
        <v>0</v>
      </c>
    </row>
    <row r="65" spans="1:13">
      <c r="A65" s="3" t="s">
        <v>193</v>
      </c>
      <c r="B65" s="4" t="s">
        <v>206</v>
      </c>
      <c r="C65" s="5" t="s">
        <v>207</v>
      </c>
      <c r="D65" s="6" t="s">
        <v>208</v>
      </c>
      <c r="E65" s="7">
        <v>0</v>
      </c>
      <c r="F65" s="8">
        <v>40.5</v>
      </c>
      <c r="G65" s="9">
        <v>38.479999999999997</v>
      </c>
      <c r="H65" s="10">
        <v>0.05</v>
      </c>
      <c r="I65" s="11">
        <v>0</v>
      </c>
      <c r="J65" s="12">
        <f t="shared" si="4"/>
        <v>38.479999999999997</v>
      </c>
      <c r="K65" s="13">
        <f t="shared" si="5"/>
        <v>0</v>
      </c>
      <c r="L65" s="14" t="str">
        <f t="shared" si="8"/>
        <v/>
      </c>
      <c r="M65" s="1">
        <f t="shared" si="6"/>
        <v>0</v>
      </c>
    </row>
    <row r="66" spans="1:13">
      <c r="A66" s="3" t="s">
        <v>193</v>
      </c>
      <c r="B66" s="4" t="s">
        <v>209</v>
      </c>
      <c r="C66" s="5" t="s">
        <v>210</v>
      </c>
      <c r="D66" s="6" t="s">
        <v>211</v>
      </c>
      <c r="E66" s="7">
        <v>0</v>
      </c>
      <c r="F66" s="8">
        <v>34.9</v>
      </c>
      <c r="G66" s="9">
        <v>30.9</v>
      </c>
      <c r="H66" s="10">
        <v>0.115</v>
      </c>
      <c r="I66" s="11">
        <v>0</v>
      </c>
      <c r="J66" s="12">
        <f t="shared" si="4"/>
        <v>30.9</v>
      </c>
      <c r="K66" s="13">
        <f t="shared" si="5"/>
        <v>0</v>
      </c>
      <c r="L66" s="14" t="str">
        <f t="shared" si="8"/>
        <v/>
      </c>
      <c r="M66" s="1">
        <f t="shared" si="6"/>
        <v>0</v>
      </c>
    </row>
    <row r="67" spans="1:13">
      <c r="A67" s="15" t="s">
        <v>193</v>
      </c>
      <c r="B67" s="16" t="s">
        <v>212</v>
      </c>
      <c r="C67" s="17" t="s">
        <v>213</v>
      </c>
      <c r="D67" s="16" t="s">
        <v>214</v>
      </c>
      <c r="E67" s="7">
        <v>0</v>
      </c>
      <c r="F67" s="18">
        <v>40.9</v>
      </c>
      <c r="G67" s="19"/>
      <c r="H67" s="19"/>
      <c r="I67" s="20">
        <v>0</v>
      </c>
      <c r="J67" s="21">
        <f t="shared" si="4"/>
        <v>40.9</v>
      </c>
      <c r="K67" s="22">
        <f t="shared" si="5"/>
        <v>0</v>
      </c>
      <c r="L67" s="23" t="str">
        <f t="shared" si="8"/>
        <v/>
      </c>
      <c r="M67" s="1">
        <f t="shared" si="6"/>
        <v>0</v>
      </c>
    </row>
    <row r="68" spans="1:13">
      <c r="A68" s="15" t="s">
        <v>193</v>
      </c>
      <c r="B68" s="16" t="s">
        <v>215</v>
      </c>
      <c r="C68" s="17" t="s">
        <v>216</v>
      </c>
      <c r="D68" s="16" t="s">
        <v>217</v>
      </c>
      <c r="E68" s="7">
        <v>0</v>
      </c>
      <c r="F68" s="18">
        <v>37.299999999999997</v>
      </c>
      <c r="G68" s="19"/>
      <c r="H68" s="19"/>
      <c r="I68" s="20">
        <v>0</v>
      </c>
      <c r="J68" s="21">
        <f t="shared" si="4"/>
        <v>37.299999999999997</v>
      </c>
      <c r="K68" s="22">
        <f t="shared" si="5"/>
        <v>0</v>
      </c>
      <c r="L68" s="23" t="str">
        <f t="shared" si="8"/>
        <v/>
      </c>
      <c r="M68" s="1">
        <f t="shared" si="6"/>
        <v>0</v>
      </c>
    </row>
    <row r="69" spans="1:13">
      <c r="A69" s="15" t="s">
        <v>193</v>
      </c>
      <c r="B69" s="16" t="s">
        <v>218</v>
      </c>
      <c r="C69" s="17" t="s">
        <v>219</v>
      </c>
      <c r="D69" s="16" t="s">
        <v>220</v>
      </c>
      <c r="E69" s="7">
        <v>0</v>
      </c>
      <c r="F69" s="18">
        <v>43.9</v>
      </c>
      <c r="G69" s="19"/>
      <c r="H69" s="19"/>
      <c r="I69" s="20">
        <v>0</v>
      </c>
      <c r="J69" s="21">
        <f t="shared" si="4"/>
        <v>43.9</v>
      </c>
      <c r="K69" s="22">
        <f t="shared" si="5"/>
        <v>0</v>
      </c>
      <c r="L69" s="23" t="str">
        <f t="shared" si="8"/>
        <v/>
      </c>
      <c r="M69" s="1">
        <f t="shared" si="6"/>
        <v>0</v>
      </c>
    </row>
    <row r="70" spans="1:13">
      <c r="A70" s="15" t="s">
        <v>193</v>
      </c>
      <c r="B70" s="16" t="s">
        <v>221</v>
      </c>
      <c r="C70" s="17" t="s">
        <v>222</v>
      </c>
      <c r="D70" s="16" t="s">
        <v>223</v>
      </c>
      <c r="E70" s="7">
        <v>0</v>
      </c>
      <c r="F70" s="18">
        <v>39.9</v>
      </c>
      <c r="G70" s="19"/>
      <c r="H70" s="19"/>
      <c r="I70" s="20">
        <v>0</v>
      </c>
      <c r="J70" s="21">
        <f t="shared" si="4"/>
        <v>39.9</v>
      </c>
      <c r="K70" s="22">
        <f t="shared" si="5"/>
        <v>0</v>
      </c>
      <c r="L70" s="23" t="str">
        <f t="shared" si="8"/>
        <v/>
      </c>
      <c r="M70" s="1">
        <f t="shared" si="6"/>
        <v>0</v>
      </c>
    </row>
    <row r="71" spans="1:13">
      <c r="A71" s="3" t="s">
        <v>193</v>
      </c>
      <c r="B71" s="4" t="s">
        <v>224</v>
      </c>
      <c r="C71" s="5" t="s">
        <v>225</v>
      </c>
      <c r="D71" s="6" t="s">
        <v>226</v>
      </c>
      <c r="E71" s="7">
        <v>0</v>
      </c>
      <c r="F71" s="8">
        <v>40.700000000000003</v>
      </c>
      <c r="G71" s="9">
        <v>34.9</v>
      </c>
      <c r="H71" s="10">
        <v>0.14299999999999999</v>
      </c>
      <c r="I71" s="11">
        <v>0</v>
      </c>
      <c r="J71" s="12">
        <f t="shared" ref="J71:J102" si="9">ROUND(IF($G71&lt;&gt;"",$G71,$F71)*(1+$I71),2)</f>
        <v>34.9</v>
      </c>
      <c r="K71" s="13">
        <f t="shared" ref="K71:K102" si="10">$M71*$J71</f>
        <v>0</v>
      </c>
      <c r="L71" s="14" t="str">
        <f t="shared" si="8"/>
        <v/>
      </c>
      <c r="M71" s="1">
        <f t="shared" ref="M71:M102" si="11">IF(ISNUMBER($E71),IF(AND($E71&gt;=0,$E71=INT($E71)),$E71,0),0)</f>
        <v>0</v>
      </c>
    </row>
    <row r="72" spans="1:13">
      <c r="A72" s="15" t="s">
        <v>193</v>
      </c>
      <c r="B72" s="16" t="s">
        <v>227</v>
      </c>
      <c r="C72" s="17" t="s">
        <v>228</v>
      </c>
      <c r="D72" s="16" t="s">
        <v>229</v>
      </c>
      <c r="E72" s="7">
        <v>0</v>
      </c>
      <c r="F72" s="18">
        <v>45.9</v>
      </c>
      <c r="G72" s="19"/>
      <c r="H72" s="19"/>
      <c r="I72" s="20">
        <v>0</v>
      </c>
      <c r="J72" s="21">
        <f t="shared" si="9"/>
        <v>45.9</v>
      </c>
      <c r="K72" s="22">
        <f t="shared" si="10"/>
        <v>0</v>
      </c>
      <c r="L72" s="23" t="str">
        <f t="shared" si="8"/>
        <v/>
      </c>
      <c r="M72" s="1">
        <f t="shared" si="11"/>
        <v>0</v>
      </c>
    </row>
    <row r="73" spans="1:13">
      <c r="A73" s="15" t="s">
        <v>193</v>
      </c>
      <c r="B73" s="16" t="s">
        <v>230</v>
      </c>
      <c r="C73" s="17" t="s">
        <v>225</v>
      </c>
      <c r="D73" s="16" t="s">
        <v>231</v>
      </c>
      <c r="E73" s="7">
        <v>0</v>
      </c>
      <c r="F73" s="18">
        <v>33.86</v>
      </c>
      <c r="G73" s="19"/>
      <c r="H73" s="19"/>
      <c r="I73" s="20">
        <v>0</v>
      </c>
      <c r="J73" s="21">
        <f t="shared" si="9"/>
        <v>33.86</v>
      </c>
      <c r="K73" s="22">
        <f t="shared" si="10"/>
        <v>0</v>
      </c>
      <c r="L73" s="23" t="str">
        <f t="shared" si="8"/>
        <v/>
      </c>
      <c r="M73" s="1">
        <f t="shared" si="11"/>
        <v>0</v>
      </c>
    </row>
    <row r="74" spans="1:13">
      <c r="A74" s="15" t="s">
        <v>232</v>
      </c>
      <c r="B74" s="16" t="s">
        <v>233</v>
      </c>
      <c r="C74" s="17" t="s">
        <v>234</v>
      </c>
      <c r="D74" s="16" t="s">
        <v>235</v>
      </c>
      <c r="E74" s="7">
        <v>0</v>
      </c>
      <c r="F74" s="18">
        <v>54.48</v>
      </c>
      <c r="G74" s="19"/>
      <c r="H74" s="19"/>
      <c r="I74" s="20">
        <v>9.7500000000000003E-2</v>
      </c>
      <c r="J74" s="21">
        <f t="shared" si="9"/>
        <v>59.79</v>
      </c>
      <c r="K74" s="22">
        <f t="shared" si="10"/>
        <v>0</v>
      </c>
      <c r="L74" s="23" t="str">
        <f t="shared" si="8"/>
        <v/>
      </c>
      <c r="M74" s="1">
        <f t="shared" si="11"/>
        <v>0</v>
      </c>
    </row>
    <row r="75" spans="1:13">
      <c r="A75" s="3" t="s">
        <v>232</v>
      </c>
      <c r="B75" s="4" t="s">
        <v>236</v>
      </c>
      <c r="C75" s="5" t="s">
        <v>237</v>
      </c>
      <c r="D75" s="6" t="s">
        <v>238</v>
      </c>
      <c r="E75" s="7">
        <v>0</v>
      </c>
      <c r="F75" s="8">
        <v>53.95</v>
      </c>
      <c r="G75" s="9">
        <v>47.48</v>
      </c>
      <c r="H75" s="10">
        <v>0.12</v>
      </c>
      <c r="I75" s="11">
        <v>9.7500000000000003E-2</v>
      </c>
      <c r="J75" s="12">
        <f t="shared" si="9"/>
        <v>52.11</v>
      </c>
      <c r="K75" s="13">
        <f t="shared" si="10"/>
        <v>0</v>
      </c>
      <c r="L75" s="14" t="str">
        <f t="shared" si="8"/>
        <v/>
      </c>
      <c r="M75" s="1">
        <f t="shared" si="11"/>
        <v>0</v>
      </c>
    </row>
    <row r="76" spans="1:13">
      <c r="A76" s="3" t="s">
        <v>232</v>
      </c>
      <c r="B76" s="4" t="s">
        <v>239</v>
      </c>
      <c r="C76" s="5" t="s">
        <v>240</v>
      </c>
      <c r="D76" s="6" t="s">
        <v>241</v>
      </c>
      <c r="E76" s="7">
        <v>0</v>
      </c>
      <c r="F76" s="8">
        <v>61.09</v>
      </c>
      <c r="G76" s="9">
        <v>42.9</v>
      </c>
      <c r="H76" s="10">
        <v>0.29799999999999999</v>
      </c>
      <c r="I76" s="11">
        <v>9.7500000000000003E-2</v>
      </c>
      <c r="J76" s="12">
        <f t="shared" si="9"/>
        <v>47.08</v>
      </c>
      <c r="K76" s="13">
        <f t="shared" si="10"/>
        <v>0</v>
      </c>
      <c r="L76" s="14" t="str">
        <f t="shared" si="8"/>
        <v/>
      </c>
      <c r="M76" s="1">
        <f t="shared" si="11"/>
        <v>0</v>
      </c>
    </row>
    <row r="77" spans="1:13">
      <c r="A77" s="3" t="s">
        <v>232</v>
      </c>
      <c r="B77" s="4" t="s">
        <v>242</v>
      </c>
      <c r="C77" s="5"/>
      <c r="D77" s="6" t="s">
        <v>243</v>
      </c>
      <c r="E77" s="7">
        <v>0</v>
      </c>
      <c r="F77" s="8">
        <v>33.9</v>
      </c>
      <c r="G77" s="9">
        <v>31.9</v>
      </c>
      <c r="H77" s="10">
        <v>5.8999999999999997E-2</v>
      </c>
      <c r="I77" s="11">
        <v>9.7500000000000003E-2</v>
      </c>
      <c r="J77" s="12">
        <f t="shared" si="9"/>
        <v>35.01</v>
      </c>
      <c r="K77" s="13">
        <f t="shared" si="10"/>
        <v>0</v>
      </c>
      <c r="L77" s="14" t="str">
        <f t="shared" si="8"/>
        <v/>
      </c>
      <c r="M77" s="1">
        <f t="shared" si="11"/>
        <v>0</v>
      </c>
    </row>
    <row r="78" spans="1:13">
      <c r="A78" s="3" t="s">
        <v>232</v>
      </c>
      <c r="B78" s="4" t="s">
        <v>244</v>
      </c>
      <c r="C78" s="5" t="s">
        <v>245</v>
      </c>
      <c r="D78" s="6" t="s">
        <v>246</v>
      </c>
      <c r="E78" s="7">
        <v>0</v>
      </c>
      <c r="F78" s="8">
        <v>41.9</v>
      </c>
      <c r="G78" s="9">
        <v>37.9</v>
      </c>
      <c r="H78" s="10">
        <v>9.5000000000000001E-2</v>
      </c>
      <c r="I78" s="11">
        <v>9.7500000000000003E-2</v>
      </c>
      <c r="J78" s="12">
        <f t="shared" si="9"/>
        <v>41.6</v>
      </c>
      <c r="K78" s="13">
        <f t="shared" si="10"/>
        <v>0</v>
      </c>
      <c r="L78" s="14" t="str">
        <f t="shared" si="8"/>
        <v/>
      </c>
      <c r="M78" s="1">
        <f t="shared" si="11"/>
        <v>0</v>
      </c>
    </row>
    <row r="79" spans="1:13">
      <c r="A79" s="3" t="s">
        <v>232</v>
      </c>
      <c r="B79" s="4" t="s">
        <v>247</v>
      </c>
      <c r="C79" s="5" t="s">
        <v>248</v>
      </c>
      <c r="D79" s="6" t="s">
        <v>249</v>
      </c>
      <c r="E79" s="7">
        <v>0</v>
      </c>
      <c r="F79" s="8">
        <v>28.79</v>
      </c>
      <c r="G79" s="9">
        <v>9.9</v>
      </c>
      <c r="H79" s="10">
        <v>0.65599999999999992</v>
      </c>
      <c r="I79" s="11">
        <v>9.7500000000000003E-2</v>
      </c>
      <c r="J79" s="12">
        <f t="shared" si="9"/>
        <v>10.87</v>
      </c>
      <c r="K79" s="13">
        <f t="shared" si="10"/>
        <v>0</v>
      </c>
      <c r="L79" s="14" t="str">
        <f t="shared" si="8"/>
        <v/>
      </c>
      <c r="M79" s="1">
        <f t="shared" si="11"/>
        <v>0</v>
      </c>
    </row>
    <row r="80" spans="1:13">
      <c r="A80" s="3" t="s">
        <v>232</v>
      </c>
      <c r="B80" s="4" t="s">
        <v>250</v>
      </c>
      <c r="C80" s="5" t="s">
        <v>251</v>
      </c>
      <c r="D80" s="6" t="s">
        <v>252</v>
      </c>
      <c r="E80" s="7">
        <v>0</v>
      </c>
      <c r="F80" s="8">
        <v>17.899999999999999</v>
      </c>
      <c r="G80" s="9">
        <v>14.9</v>
      </c>
      <c r="H80" s="10">
        <v>0.16800000000000001</v>
      </c>
      <c r="I80" s="11">
        <v>9.7500000000000003E-2</v>
      </c>
      <c r="J80" s="12">
        <f t="shared" si="9"/>
        <v>16.350000000000001</v>
      </c>
      <c r="K80" s="13">
        <f t="shared" si="10"/>
        <v>0</v>
      </c>
      <c r="L80" s="14" t="str">
        <f t="shared" si="8"/>
        <v/>
      </c>
      <c r="M80" s="1">
        <f t="shared" si="11"/>
        <v>0</v>
      </c>
    </row>
    <row r="81" spans="1:13">
      <c r="A81" s="3" t="s">
        <v>232</v>
      </c>
      <c r="B81" s="4" t="s">
        <v>253</v>
      </c>
      <c r="C81" s="5" t="s">
        <v>254</v>
      </c>
      <c r="D81" s="6" t="s">
        <v>255</v>
      </c>
      <c r="E81" s="7">
        <v>0</v>
      </c>
      <c r="F81" s="8">
        <v>11.9</v>
      </c>
      <c r="G81" s="9">
        <v>9.9</v>
      </c>
      <c r="H81" s="10">
        <v>0.16800000000000001</v>
      </c>
      <c r="I81" s="11">
        <v>0</v>
      </c>
      <c r="J81" s="12">
        <f t="shared" si="9"/>
        <v>9.9</v>
      </c>
      <c r="K81" s="13">
        <f t="shared" si="10"/>
        <v>0</v>
      </c>
      <c r="L81" s="14" t="str">
        <f>IF($E81="","",IF(NOT(ISNUMBER($E81)),"⚠ QUANTIDADE INVÁLIDA",IF(OR($E81&lt;0,$E81&lt;&gt;INT($E81)),"⚠ QUANTIDADE INVÁLIDA",IF($E81=0,"",IF(AND($E81&gt;=24,MOD($E81,24)=0),"","⚠ NÃO FECHA CAIXA (múltiplos de 24)")))))</f>
        <v/>
      </c>
      <c r="M81" s="1">
        <f t="shared" si="11"/>
        <v>0</v>
      </c>
    </row>
    <row r="82" spans="1:13">
      <c r="A82" s="3" t="s">
        <v>256</v>
      </c>
      <c r="B82" s="4" t="s">
        <v>257</v>
      </c>
      <c r="C82" s="5" t="s">
        <v>258</v>
      </c>
      <c r="D82" s="6" t="s">
        <v>259</v>
      </c>
      <c r="E82" s="7">
        <v>0</v>
      </c>
      <c r="F82" s="8">
        <v>36.96</v>
      </c>
      <c r="G82" s="9">
        <v>29.9</v>
      </c>
      <c r="H82" s="10">
        <v>0.191</v>
      </c>
      <c r="I82" s="11">
        <v>9.7500000000000003E-2</v>
      </c>
      <c r="J82" s="12">
        <f t="shared" si="9"/>
        <v>32.82</v>
      </c>
      <c r="K82" s="13">
        <f t="shared" si="10"/>
        <v>0</v>
      </c>
      <c r="L82" s="14" t="str">
        <f>IF($E82="","",IF(NOT(ISNUMBER($E82)),"⚠ QUANTIDADE INVÁLIDA",IF(OR($E82&lt;0,$E82&lt;&gt;INT($E82)),"⚠ QUANTIDADE INVÁLIDA",IF($E82=0,"",IF(AND($E82&gt;=6,MOD($E82,6)=0),"","⚠ NÃO FECHA CAIXA (múltiplos de 6)")))))</f>
        <v/>
      </c>
      <c r="M82" s="1">
        <f t="shared" si="11"/>
        <v>0</v>
      </c>
    </row>
    <row r="83" spans="1:13">
      <c r="A83" s="3" t="s">
        <v>256</v>
      </c>
      <c r="B83" s="4" t="s">
        <v>260</v>
      </c>
      <c r="C83" s="5" t="s">
        <v>261</v>
      </c>
      <c r="D83" s="6" t="s">
        <v>262</v>
      </c>
      <c r="E83" s="7">
        <v>0</v>
      </c>
      <c r="F83" s="8">
        <v>72.239999999999995</v>
      </c>
      <c r="G83" s="9">
        <v>53.9</v>
      </c>
      <c r="H83" s="10">
        <v>0.254</v>
      </c>
      <c r="I83" s="11">
        <v>9.7500000000000003E-2</v>
      </c>
      <c r="J83" s="12">
        <f t="shared" si="9"/>
        <v>59.16</v>
      </c>
      <c r="K83" s="13">
        <f t="shared" si="10"/>
        <v>0</v>
      </c>
      <c r="L83" s="14" t="str">
        <f>IF($E83="","",IF(NOT(ISNUMBER($E83)),"⚠ QUANTIDADE INVÁLIDA",IF(OR($E83&lt;0,$E83&lt;&gt;INT($E83)),"⚠ QUANTIDADE INVÁLIDA",IF($E83=0,"",IF(AND($E83&gt;=6,MOD($E83,6)=0),"","⚠ NÃO FECHA CAIXA (múltiplos de 6)")))))</f>
        <v/>
      </c>
      <c r="M83" s="1">
        <f t="shared" si="11"/>
        <v>0</v>
      </c>
    </row>
    <row r="84" spans="1:13">
      <c r="A84" s="3" t="s">
        <v>256</v>
      </c>
      <c r="B84" s="4" t="s">
        <v>263</v>
      </c>
      <c r="C84" s="5" t="s">
        <v>264</v>
      </c>
      <c r="D84" s="6" t="s">
        <v>265</v>
      </c>
      <c r="E84" s="7">
        <v>0</v>
      </c>
      <c r="F84" s="8">
        <v>39.76</v>
      </c>
      <c r="G84" s="9">
        <v>29.9</v>
      </c>
      <c r="H84" s="10">
        <v>0.248</v>
      </c>
      <c r="I84" s="11">
        <v>9.7500000000000003E-2</v>
      </c>
      <c r="J84" s="12">
        <f t="shared" si="9"/>
        <v>32.82</v>
      </c>
      <c r="K84" s="13">
        <f t="shared" si="10"/>
        <v>0</v>
      </c>
      <c r="L84" s="14" t="str">
        <f>IF($E84="","",IF(NOT(ISNUMBER($E84)),"⚠ QUANTIDADE INVÁLIDA",IF(OR($E84&lt;0,$E84&lt;&gt;INT($E84)),"⚠ QUANTIDADE INVÁLIDA",IF($E84=0,"",IF(AND($E84&gt;=6,MOD($E84,6)=0),"","⚠ NÃO FECHA CAIXA (múltiplos de 6)")))))</f>
        <v/>
      </c>
      <c r="M84" s="1">
        <f t="shared" si="11"/>
        <v>0</v>
      </c>
    </row>
    <row r="85" spans="1:13">
      <c r="A85" s="3" t="s">
        <v>256</v>
      </c>
      <c r="B85" s="4" t="s">
        <v>266</v>
      </c>
      <c r="C85" s="5" t="s">
        <v>267</v>
      </c>
      <c r="D85" s="6" t="s">
        <v>268</v>
      </c>
      <c r="E85" s="7">
        <v>0</v>
      </c>
      <c r="F85" s="8">
        <v>78.28</v>
      </c>
      <c r="G85" s="9">
        <v>36.9</v>
      </c>
      <c r="H85" s="10">
        <v>0.52900000000000003</v>
      </c>
      <c r="I85" s="11">
        <v>9.7500000000000003E-2</v>
      </c>
      <c r="J85" s="12">
        <f t="shared" si="9"/>
        <v>40.5</v>
      </c>
      <c r="K85" s="13">
        <f t="shared" si="10"/>
        <v>0</v>
      </c>
      <c r="L85" s="14" t="str">
        <f>IF($E85="","",IF(NOT(ISNUMBER($E85)),"⚠ QUANTIDADE INVÁLIDA",IF(OR($E85&lt;0,$E85&lt;&gt;INT($E85)),"⚠ QUANTIDADE INVÁLIDA",IF($E85=0,"",IF(AND($E85&gt;=6,MOD($E85,6)=0),"","⚠ NÃO FECHA CAIXA (múltiplos de 6)")))))</f>
        <v/>
      </c>
      <c r="M85" s="1">
        <f t="shared" si="11"/>
        <v>0</v>
      </c>
    </row>
    <row r="86" spans="1:13">
      <c r="A86" s="3" t="s">
        <v>256</v>
      </c>
      <c r="B86" s="4" t="s">
        <v>269</v>
      </c>
      <c r="C86" s="5" t="s">
        <v>270</v>
      </c>
      <c r="D86" s="6" t="s">
        <v>271</v>
      </c>
      <c r="E86" s="7">
        <v>0</v>
      </c>
      <c r="F86" s="8">
        <v>98.9</v>
      </c>
      <c r="G86" s="9">
        <v>69.900000000000006</v>
      </c>
      <c r="H86" s="10">
        <v>0.29299999999999998</v>
      </c>
      <c r="I86" s="11">
        <v>9.7500000000000003E-2</v>
      </c>
      <c r="J86" s="12">
        <f t="shared" si="9"/>
        <v>76.72</v>
      </c>
      <c r="K86" s="13">
        <f t="shared" si="10"/>
        <v>0</v>
      </c>
      <c r="L86" s="14" t="str">
        <f>IF($E86="","",IF(NOT(ISNUMBER($E86)),"⚠ QUANTIDADE INVÁLIDA",IF(OR($E86&lt;0,$E86&lt;&gt;INT($E86)),"⚠ QUANTIDADE INVÁLIDA",IF($E86=0,"",IF(AND($E86&gt;=6,MOD($E86,6)=0),"","⚠ NÃO FECHA CAIXA (múltiplos de 6)")))))</f>
        <v/>
      </c>
      <c r="M86" s="1">
        <f t="shared" si="11"/>
        <v>0</v>
      </c>
    </row>
    <row r="87" spans="1:13">
      <c r="A87" s="3" t="s">
        <v>272</v>
      </c>
      <c r="B87" s="4" t="s">
        <v>273</v>
      </c>
      <c r="C87" s="5"/>
      <c r="D87" s="6" t="s">
        <v>274</v>
      </c>
      <c r="E87" s="7">
        <v>0</v>
      </c>
      <c r="F87" s="8">
        <v>41.9</v>
      </c>
      <c r="G87" s="9">
        <v>32.9</v>
      </c>
      <c r="H87" s="10">
        <v>0.215</v>
      </c>
      <c r="I87" s="11">
        <v>0</v>
      </c>
      <c r="J87" s="12">
        <f t="shared" si="9"/>
        <v>32.9</v>
      </c>
      <c r="K87" s="13">
        <f t="shared" si="10"/>
        <v>0</v>
      </c>
      <c r="L87" s="14" t="str">
        <f t="shared" ref="L87:L100" si="12">IF($E87="","",IF(NOT(ISNUMBER($E87)),"⚠ QUANTIDADE INVÁLIDA",IF(OR($E87&lt;0,$E87&lt;&gt;INT($E87)),"⚠ QUANTIDADE INVÁLIDA",IF($E87=0,"",IF(AND($E87&gt;=12,MOD($E87,12)=0),"","⚠ NÃO FECHA CAIXA (múltiplos de 12)")))))</f>
        <v/>
      </c>
      <c r="M87" s="1">
        <f t="shared" si="11"/>
        <v>0</v>
      </c>
    </row>
    <row r="88" spans="1:13">
      <c r="A88" s="3" t="s">
        <v>272</v>
      </c>
      <c r="B88" s="4" t="s">
        <v>275</v>
      </c>
      <c r="C88" s="5" t="s">
        <v>276</v>
      </c>
      <c r="D88" s="6" t="s">
        <v>277</v>
      </c>
      <c r="E88" s="7">
        <v>0</v>
      </c>
      <c r="F88" s="8">
        <v>41.9</v>
      </c>
      <c r="G88" s="9">
        <v>39.9</v>
      </c>
      <c r="H88" s="10">
        <v>4.8000000000000001E-2</v>
      </c>
      <c r="I88" s="11">
        <v>0</v>
      </c>
      <c r="J88" s="12">
        <f t="shared" si="9"/>
        <v>39.9</v>
      </c>
      <c r="K88" s="13">
        <f t="shared" si="10"/>
        <v>0</v>
      </c>
      <c r="L88" s="14" t="str">
        <f t="shared" si="12"/>
        <v/>
      </c>
      <c r="M88" s="1">
        <f t="shared" si="11"/>
        <v>0</v>
      </c>
    </row>
    <row r="89" spans="1:13">
      <c r="A89" s="3" t="s">
        <v>272</v>
      </c>
      <c r="B89" s="4" t="s">
        <v>278</v>
      </c>
      <c r="C89" s="5" t="s">
        <v>279</v>
      </c>
      <c r="D89" s="6" t="s">
        <v>280</v>
      </c>
      <c r="E89" s="7">
        <v>0</v>
      </c>
      <c r="F89" s="8">
        <v>49.9</v>
      </c>
      <c r="G89" s="9">
        <v>44.9</v>
      </c>
      <c r="H89" s="10">
        <v>0.1</v>
      </c>
      <c r="I89" s="11">
        <v>0</v>
      </c>
      <c r="J89" s="12">
        <f t="shared" si="9"/>
        <v>44.9</v>
      </c>
      <c r="K89" s="13">
        <f t="shared" si="10"/>
        <v>0</v>
      </c>
      <c r="L89" s="14" t="str">
        <f t="shared" si="12"/>
        <v/>
      </c>
      <c r="M89" s="1">
        <f t="shared" si="11"/>
        <v>0</v>
      </c>
    </row>
    <row r="90" spans="1:13">
      <c r="A90" s="3" t="s">
        <v>272</v>
      </c>
      <c r="B90" s="4" t="s">
        <v>281</v>
      </c>
      <c r="C90" s="5" t="s">
        <v>282</v>
      </c>
      <c r="D90" s="6" t="s">
        <v>283</v>
      </c>
      <c r="E90" s="7">
        <v>0</v>
      </c>
      <c r="F90" s="8">
        <v>45.61</v>
      </c>
      <c r="G90" s="9">
        <v>26.9</v>
      </c>
      <c r="H90" s="10">
        <v>0.41</v>
      </c>
      <c r="I90" s="11">
        <v>0</v>
      </c>
      <c r="J90" s="12">
        <f t="shared" si="9"/>
        <v>26.9</v>
      </c>
      <c r="K90" s="13">
        <f t="shared" si="10"/>
        <v>0</v>
      </c>
      <c r="L90" s="14" t="str">
        <f t="shared" si="12"/>
        <v/>
      </c>
      <c r="M90" s="1">
        <f t="shared" si="11"/>
        <v>0</v>
      </c>
    </row>
    <row r="91" spans="1:13">
      <c r="A91" s="3" t="s">
        <v>272</v>
      </c>
      <c r="B91" s="4" t="s">
        <v>284</v>
      </c>
      <c r="C91" s="5" t="s">
        <v>285</v>
      </c>
      <c r="D91" s="6" t="s">
        <v>286</v>
      </c>
      <c r="E91" s="7">
        <v>0</v>
      </c>
      <c r="F91" s="8">
        <v>48</v>
      </c>
      <c r="G91" s="9">
        <v>28.9</v>
      </c>
      <c r="H91" s="10">
        <v>0.39800000000000002</v>
      </c>
      <c r="I91" s="11">
        <v>0</v>
      </c>
      <c r="J91" s="12">
        <f t="shared" si="9"/>
        <v>28.9</v>
      </c>
      <c r="K91" s="13">
        <f t="shared" si="10"/>
        <v>0</v>
      </c>
      <c r="L91" s="14" t="str">
        <f t="shared" si="12"/>
        <v/>
      </c>
      <c r="M91" s="1">
        <f t="shared" si="11"/>
        <v>0</v>
      </c>
    </row>
    <row r="92" spans="1:13">
      <c r="A92" s="3" t="s">
        <v>272</v>
      </c>
      <c r="B92" s="4" t="s">
        <v>287</v>
      </c>
      <c r="C92" s="5" t="s">
        <v>288</v>
      </c>
      <c r="D92" s="6" t="s">
        <v>289</v>
      </c>
      <c r="E92" s="7">
        <v>0</v>
      </c>
      <c r="F92" s="8">
        <v>47.52</v>
      </c>
      <c r="G92" s="9">
        <v>42.77</v>
      </c>
      <c r="H92" s="10">
        <v>0.1</v>
      </c>
      <c r="I92" s="11">
        <v>0</v>
      </c>
      <c r="J92" s="12">
        <f t="shared" si="9"/>
        <v>42.77</v>
      </c>
      <c r="K92" s="13">
        <f t="shared" si="10"/>
        <v>0</v>
      </c>
      <c r="L92" s="14" t="str">
        <f t="shared" si="12"/>
        <v/>
      </c>
      <c r="M92" s="1">
        <f t="shared" si="11"/>
        <v>0</v>
      </c>
    </row>
    <row r="93" spans="1:13">
      <c r="A93" s="3" t="s">
        <v>272</v>
      </c>
      <c r="B93" s="4" t="s">
        <v>290</v>
      </c>
      <c r="C93" s="5" t="s">
        <v>291</v>
      </c>
      <c r="D93" s="6" t="s">
        <v>292</v>
      </c>
      <c r="E93" s="7">
        <v>0</v>
      </c>
      <c r="F93" s="8">
        <v>49.68</v>
      </c>
      <c r="G93" s="9">
        <v>44.71</v>
      </c>
      <c r="H93" s="10">
        <v>0.1</v>
      </c>
      <c r="I93" s="11">
        <v>0</v>
      </c>
      <c r="J93" s="12">
        <f t="shared" si="9"/>
        <v>44.71</v>
      </c>
      <c r="K93" s="13">
        <f t="shared" si="10"/>
        <v>0</v>
      </c>
      <c r="L93" s="14" t="str">
        <f t="shared" si="12"/>
        <v/>
      </c>
      <c r="M93" s="1">
        <f t="shared" si="11"/>
        <v>0</v>
      </c>
    </row>
    <row r="94" spans="1:13">
      <c r="A94" s="3" t="s">
        <v>272</v>
      </c>
      <c r="B94" s="4" t="s">
        <v>293</v>
      </c>
      <c r="C94" s="5" t="s">
        <v>294</v>
      </c>
      <c r="D94" s="6" t="s">
        <v>295</v>
      </c>
      <c r="E94" s="7">
        <v>0</v>
      </c>
      <c r="F94" s="8">
        <v>49.9</v>
      </c>
      <c r="G94" s="9">
        <v>44.91</v>
      </c>
      <c r="H94" s="10">
        <v>0.1</v>
      </c>
      <c r="I94" s="11">
        <v>0</v>
      </c>
      <c r="J94" s="12">
        <f t="shared" si="9"/>
        <v>44.91</v>
      </c>
      <c r="K94" s="13">
        <f t="shared" si="10"/>
        <v>0</v>
      </c>
      <c r="L94" s="14" t="str">
        <f t="shared" si="12"/>
        <v/>
      </c>
      <c r="M94" s="1">
        <f t="shared" si="11"/>
        <v>0</v>
      </c>
    </row>
    <row r="95" spans="1:13">
      <c r="A95" s="3" t="s">
        <v>272</v>
      </c>
      <c r="B95" s="4" t="s">
        <v>296</v>
      </c>
      <c r="C95" s="5" t="s">
        <v>297</v>
      </c>
      <c r="D95" s="6" t="s">
        <v>298</v>
      </c>
      <c r="E95" s="7">
        <v>0</v>
      </c>
      <c r="F95" s="8">
        <v>85.32</v>
      </c>
      <c r="G95" s="9">
        <v>29.99</v>
      </c>
      <c r="H95" s="10">
        <v>0.64800000000000002</v>
      </c>
      <c r="I95" s="11">
        <v>0</v>
      </c>
      <c r="J95" s="12">
        <f t="shared" si="9"/>
        <v>29.99</v>
      </c>
      <c r="K95" s="13">
        <f t="shared" si="10"/>
        <v>0</v>
      </c>
      <c r="L95" s="14" t="str">
        <f t="shared" si="12"/>
        <v/>
      </c>
      <c r="M95" s="1">
        <f t="shared" si="11"/>
        <v>0</v>
      </c>
    </row>
    <row r="96" spans="1:13">
      <c r="A96" s="3" t="s">
        <v>272</v>
      </c>
      <c r="B96" s="4" t="s">
        <v>299</v>
      </c>
      <c r="C96" s="5" t="s">
        <v>300</v>
      </c>
      <c r="D96" s="6" t="s">
        <v>301</v>
      </c>
      <c r="E96" s="7">
        <v>0</v>
      </c>
      <c r="F96" s="8">
        <v>96.12</v>
      </c>
      <c r="G96" s="9">
        <v>29.99</v>
      </c>
      <c r="H96" s="10">
        <v>0.68799999999999994</v>
      </c>
      <c r="I96" s="11">
        <v>0</v>
      </c>
      <c r="J96" s="12">
        <f t="shared" si="9"/>
        <v>29.99</v>
      </c>
      <c r="K96" s="13">
        <f t="shared" si="10"/>
        <v>0</v>
      </c>
      <c r="L96" s="14" t="str">
        <f t="shared" si="12"/>
        <v/>
      </c>
      <c r="M96" s="1">
        <f t="shared" si="11"/>
        <v>0</v>
      </c>
    </row>
    <row r="97" spans="1:13">
      <c r="A97" s="3" t="s">
        <v>302</v>
      </c>
      <c r="B97" s="4" t="s">
        <v>303</v>
      </c>
      <c r="C97" s="5" t="s">
        <v>304</v>
      </c>
      <c r="D97" s="6" t="s">
        <v>305</v>
      </c>
      <c r="E97" s="7">
        <v>0</v>
      </c>
      <c r="F97" s="8">
        <v>45.9</v>
      </c>
      <c r="G97" s="9">
        <v>39.9</v>
      </c>
      <c r="H97" s="10">
        <v>0.13100000000000001</v>
      </c>
      <c r="I97" s="11">
        <v>6.5000000000000002E-2</v>
      </c>
      <c r="J97" s="12">
        <f t="shared" si="9"/>
        <v>42.49</v>
      </c>
      <c r="K97" s="13">
        <f t="shared" si="10"/>
        <v>0</v>
      </c>
      <c r="L97" s="14" t="str">
        <f t="shared" si="12"/>
        <v/>
      </c>
      <c r="M97" s="1">
        <f t="shared" si="11"/>
        <v>0</v>
      </c>
    </row>
    <row r="98" spans="1:13">
      <c r="A98" s="3" t="s">
        <v>302</v>
      </c>
      <c r="B98" s="4" t="s">
        <v>306</v>
      </c>
      <c r="C98" s="5" t="s">
        <v>307</v>
      </c>
      <c r="D98" s="6" t="s">
        <v>308</v>
      </c>
      <c r="E98" s="7">
        <v>0</v>
      </c>
      <c r="F98" s="8">
        <v>40.9</v>
      </c>
      <c r="G98" s="9">
        <v>34.9</v>
      </c>
      <c r="H98" s="10">
        <v>0.14699999999999999</v>
      </c>
      <c r="I98" s="11">
        <v>6.5000000000000002E-2</v>
      </c>
      <c r="J98" s="12">
        <f t="shared" si="9"/>
        <v>37.17</v>
      </c>
      <c r="K98" s="13">
        <f t="shared" si="10"/>
        <v>0</v>
      </c>
      <c r="L98" s="14" t="str">
        <f t="shared" si="12"/>
        <v/>
      </c>
      <c r="M98" s="1">
        <f t="shared" si="11"/>
        <v>0</v>
      </c>
    </row>
    <row r="99" spans="1:13">
      <c r="A99" s="3" t="s">
        <v>302</v>
      </c>
      <c r="B99" s="4" t="s">
        <v>309</v>
      </c>
      <c r="C99" s="5" t="s">
        <v>310</v>
      </c>
      <c r="D99" s="6" t="s">
        <v>311</v>
      </c>
      <c r="E99" s="7">
        <v>0</v>
      </c>
      <c r="F99" s="8">
        <v>31.9</v>
      </c>
      <c r="G99" s="9">
        <v>24.9</v>
      </c>
      <c r="H99" s="10">
        <v>0.219</v>
      </c>
      <c r="I99" s="11">
        <v>6.5000000000000002E-2</v>
      </c>
      <c r="J99" s="12">
        <f t="shared" si="9"/>
        <v>26.52</v>
      </c>
      <c r="K99" s="13">
        <f t="shared" si="10"/>
        <v>0</v>
      </c>
      <c r="L99" s="14" t="str">
        <f t="shared" si="12"/>
        <v/>
      </c>
      <c r="M99" s="1">
        <f t="shared" si="11"/>
        <v>0</v>
      </c>
    </row>
    <row r="100" spans="1:13">
      <c r="A100" s="15" t="s">
        <v>312</v>
      </c>
      <c r="B100" s="16" t="s">
        <v>313</v>
      </c>
      <c r="C100" s="17" t="s">
        <v>314</v>
      </c>
      <c r="D100" s="16" t="s">
        <v>315</v>
      </c>
      <c r="E100" s="7">
        <v>0</v>
      </c>
      <c r="F100" s="18">
        <v>38.9</v>
      </c>
      <c r="G100" s="19"/>
      <c r="H100" s="19"/>
      <c r="I100" s="20">
        <v>0</v>
      </c>
      <c r="J100" s="21">
        <f t="shared" si="9"/>
        <v>38.9</v>
      </c>
      <c r="K100" s="22">
        <f t="shared" si="10"/>
        <v>0</v>
      </c>
      <c r="L100" s="23" t="str">
        <f t="shared" si="12"/>
        <v/>
      </c>
      <c r="M100" s="1">
        <f t="shared" si="11"/>
        <v>0</v>
      </c>
    </row>
    <row r="101" spans="1:13">
      <c r="A101" s="3" t="s">
        <v>312</v>
      </c>
      <c r="B101" s="4" t="s">
        <v>316</v>
      </c>
      <c r="C101" s="5" t="s">
        <v>317</v>
      </c>
      <c r="D101" s="6" t="s">
        <v>318</v>
      </c>
      <c r="E101" s="7">
        <v>0</v>
      </c>
      <c r="F101" s="8">
        <v>36.9</v>
      </c>
      <c r="G101" s="9">
        <v>17.899999999999999</v>
      </c>
      <c r="H101" s="10">
        <v>0.51500000000000001</v>
      </c>
      <c r="I101" s="11">
        <v>0</v>
      </c>
      <c r="J101" s="12">
        <f t="shared" si="9"/>
        <v>17.899999999999999</v>
      </c>
      <c r="K101" s="13">
        <f t="shared" si="10"/>
        <v>0</v>
      </c>
      <c r="L101" s="14" t="str">
        <f>IF($E101="","",IF(NOT(ISNUMBER($E101)),"⚠ QUANTIDADE INVÁLIDA",IF(OR($E101&lt;0,$E101&lt;&gt;INT($E101)),"⚠ QUANTIDADE INVÁLIDA",IF($E101=0,"",IF(AND($E101&gt;=6,MOD($E101,6)=0),"","⚠ NÃO FECHA CAIXA (múltiplos de 6)")))))</f>
        <v/>
      </c>
      <c r="M101" s="1">
        <f t="shared" si="11"/>
        <v>0</v>
      </c>
    </row>
    <row r="102" spans="1:13">
      <c r="A102" s="3" t="s">
        <v>312</v>
      </c>
      <c r="B102" s="4" t="s">
        <v>319</v>
      </c>
      <c r="C102" s="5" t="s">
        <v>320</v>
      </c>
      <c r="D102" s="6" t="s">
        <v>321</v>
      </c>
      <c r="E102" s="7">
        <v>0</v>
      </c>
      <c r="F102" s="8">
        <v>26.2</v>
      </c>
      <c r="G102" s="9">
        <v>19.91</v>
      </c>
      <c r="H102" s="10">
        <v>0.24</v>
      </c>
      <c r="I102" s="11">
        <v>9.7500000000000003E-2</v>
      </c>
      <c r="J102" s="12">
        <f t="shared" si="9"/>
        <v>21.85</v>
      </c>
      <c r="K102" s="13">
        <f t="shared" si="10"/>
        <v>0</v>
      </c>
      <c r="L102" s="14" t="str">
        <f>IF($E102="","",IF(NOT(ISNUMBER($E102)),"⚠ QUANTIDADE INVÁLIDA",IF(OR($E102&lt;0,$E102&lt;&gt;INT($E102)),"⚠ QUANTIDADE INVÁLIDA",IF($E102=0,"",IF(AND($E102&gt;=12,MOD($E102,12)=0),"","⚠ NÃO FECHA CAIXA (múltiplos de 12)")))))</f>
        <v/>
      </c>
      <c r="M102" s="1">
        <f t="shared" si="11"/>
        <v>0</v>
      </c>
    </row>
    <row r="103" spans="1:13">
      <c r="A103" s="3" t="s">
        <v>322</v>
      </c>
      <c r="B103" s="4" t="s">
        <v>323</v>
      </c>
      <c r="C103" s="5" t="s">
        <v>324</v>
      </c>
      <c r="D103" s="6" t="s">
        <v>325</v>
      </c>
      <c r="E103" s="7">
        <v>0</v>
      </c>
      <c r="F103" s="8">
        <v>47.9</v>
      </c>
      <c r="G103" s="9">
        <v>37.9</v>
      </c>
      <c r="H103" s="10">
        <v>0.20899999999999999</v>
      </c>
      <c r="I103" s="11">
        <v>7.8E-2</v>
      </c>
      <c r="J103" s="12">
        <f t="shared" ref="J103:J134" si="13">ROUND(IF($G103&lt;&gt;"",$G103,$F103)*(1+$I103),2)</f>
        <v>40.86</v>
      </c>
      <c r="K103" s="13">
        <f t="shared" ref="K103:K134" si="14">$M103*$J103</f>
        <v>0</v>
      </c>
      <c r="L103" s="14" t="str">
        <f>IF($E103="","",IF(NOT(ISNUMBER($E103)),"⚠ QUANTIDADE INVÁLIDA",IF(OR($E103&lt;0,$E103&lt;&gt;INT($E103)),"⚠ QUANTIDADE INVÁLIDA",IF($E103=0,"",IF($E103&lt;12,"⚠ ABAIXO DO MÍNIMO (12 un.)","")))))</f>
        <v/>
      </c>
      <c r="M103" s="1">
        <f t="shared" ref="M103:M134" si="15">IF(ISNUMBER($E103),IF(AND($E103&gt;=0,$E103=INT($E103)),$E103,0),0)</f>
        <v>0</v>
      </c>
    </row>
    <row r="104" spans="1:13">
      <c r="A104" s="3" t="s">
        <v>322</v>
      </c>
      <c r="B104" s="4" t="s">
        <v>326</v>
      </c>
      <c r="C104" s="5"/>
      <c r="D104" s="6" t="s">
        <v>327</v>
      </c>
      <c r="E104" s="7">
        <v>0</v>
      </c>
      <c r="F104" s="8">
        <v>63.9</v>
      </c>
      <c r="G104" s="9">
        <v>49.9</v>
      </c>
      <c r="H104" s="10">
        <v>0.219</v>
      </c>
      <c r="I104" s="11">
        <v>7.8E-2</v>
      </c>
      <c r="J104" s="12">
        <f t="shared" si="13"/>
        <v>53.79</v>
      </c>
      <c r="K104" s="13">
        <f t="shared" si="14"/>
        <v>0</v>
      </c>
      <c r="L104" s="14" t="str">
        <f>IF($E104="","",IF(NOT(ISNUMBER($E104)),"⚠ QUANTIDADE INVÁLIDA",IF(OR($E104&lt;0,$E104&lt;&gt;INT($E104)),"⚠ QUANTIDADE INVÁLIDA",IF($E104=0,"",IF($E104&lt;12,"⚠ ABAIXO DO MÍNIMO (12 un.)","")))))</f>
        <v/>
      </c>
      <c r="M104" s="1">
        <f t="shared" si="15"/>
        <v>0</v>
      </c>
    </row>
    <row r="105" spans="1:13">
      <c r="A105" s="3" t="s">
        <v>322</v>
      </c>
      <c r="B105" s="4" t="s">
        <v>328</v>
      </c>
      <c r="C105" s="5" t="s">
        <v>329</v>
      </c>
      <c r="D105" s="6" t="s">
        <v>330</v>
      </c>
      <c r="E105" s="7">
        <v>0</v>
      </c>
      <c r="F105" s="8">
        <v>56.7</v>
      </c>
      <c r="G105" s="9">
        <v>49.9</v>
      </c>
      <c r="H105" s="10">
        <v>0.12</v>
      </c>
      <c r="I105" s="11">
        <v>7.8E-2</v>
      </c>
      <c r="J105" s="12">
        <f t="shared" si="13"/>
        <v>53.79</v>
      </c>
      <c r="K105" s="13">
        <f t="shared" si="14"/>
        <v>0</v>
      </c>
      <c r="L105" s="14" t="str">
        <f>IF($E105="","",IF(NOT(ISNUMBER($E105)),"⚠ QUANTIDADE INVÁLIDA",IF(OR($E105&lt;0,$E105&lt;&gt;INT($E105)),"⚠ QUANTIDADE INVÁLIDA",IF($E105=0,"",IF($E105&lt;12,"⚠ ABAIXO DO MÍNIMO (12 un.)","")))))</f>
        <v/>
      </c>
      <c r="M105" s="1">
        <f t="shared" si="15"/>
        <v>0</v>
      </c>
    </row>
    <row r="106" spans="1:13">
      <c r="A106" s="3" t="s">
        <v>322</v>
      </c>
      <c r="B106" s="4" t="s">
        <v>331</v>
      </c>
      <c r="C106" s="5" t="s">
        <v>332</v>
      </c>
      <c r="D106" s="6" t="s">
        <v>333</v>
      </c>
      <c r="E106" s="7">
        <v>0</v>
      </c>
      <c r="F106" s="8">
        <v>45.9</v>
      </c>
      <c r="G106" s="9">
        <v>36.9</v>
      </c>
      <c r="H106" s="10">
        <v>0.19600000000000001</v>
      </c>
      <c r="I106" s="11">
        <v>7.8E-2</v>
      </c>
      <c r="J106" s="12">
        <f t="shared" si="13"/>
        <v>39.78</v>
      </c>
      <c r="K106" s="13">
        <f t="shared" si="14"/>
        <v>0</v>
      </c>
      <c r="L106" s="14" t="str">
        <f>IF($E106="","",IF(NOT(ISNUMBER($E106)),"⚠ QUANTIDADE INVÁLIDA",IF(OR($E106&lt;0,$E106&lt;&gt;INT($E106)),"⚠ QUANTIDADE INVÁLIDA",IF($E106=0,"",IF($E106&lt;12,"⚠ ABAIXO DO MÍNIMO (12 un.)","")))))</f>
        <v/>
      </c>
      <c r="M106" s="1">
        <f t="shared" si="15"/>
        <v>0</v>
      </c>
    </row>
    <row r="107" spans="1:13">
      <c r="A107" s="3" t="s">
        <v>334</v>
      </c>
      <c r="B107" s="4" t="s">
        <v>335</v>
      </c>
      <c r="C107" s="5" t="s">
        <v>336</v>
      </c>
      <c r="D107" s="6" t="s">
        <v>337</v>
      </c>
      <c r="E107" s="7">
        <v>0</v>
      </c>
      <c r="F107" s="8">
        <v>299</v>
      </c>
      <c r="G107" s="9">
        <v>269</v>
      </c>
      <c r="H107" s="10">
        <v>0.1</v>
      </c>
      <c r="I107" s="11">
        <v>7.8E-2</v>
      </c>
      <c r="J107" s="12">
        <f t="shared" si="13"/>
        <v>289.98</v>
      </c>
      <c r="K107" s="13">
        <f t="shared" si="14"/>
        <v>0</v>
      </c>
      <c r="L107" s="14" t="str">
        <f>IF($E107="","",IF(NOT(ISNUMBER($E107)),"⚠ QUANTIDADE INVÁLIDA",IF(OR($E107&lt;0,$E107&lt;&gt;INT($E107)),"⚠ QUANTIDADE INVÁLIDA",IF($E107=0,"",IF($E107&lt;2,"⚠ ABAIXO DO MÍNIMO (2 un.)","")))))</f>
        <v/>
      </c>
      <c r="M107" s="1">
        <f t="shared" si="15"/>
        <v>0</v>
      </c>
    </row>
    <row r="108" spans="1:13">
      <c r="A108" s="3" t="s">
        <v>334</v>
      </c>
      <c r="B108" s="4" t="s">
        <v>338</v>
      </c>
      <c r="C108" s="5" t="s">
        <v>339</v>
      </c>
      <c r="D108" s="6" t="s">
        <v>340</v>
      </c>
      <c r="E108" s="7">
        <v>0</v>
      </c>
      <c r="F108" s="8">
        <v>299</v>
      </c>
      <c r="G108" s="9">
        <v>269</v>
      </c>
      <c r="H108" s="10">
        <v>0.1</v>
      </c>
      <c r="I108" s="11">
        <v>7.8E-2</v>
      </c>
      <c r="J108" s="12">
        <f t="shared" si="13"/>
        <v>289.98</v>
      </c>
      <c r="K108" s="13">
        <f t="shared" si="14"/>
        <v>0</v>
      </c>
      <c r="L108" s="14" t="str">
        <f>IF($E108="","",IF(NOT(ISNUMBER($E108)),"⚠ QUANTIDADE INVÁLIDA",IF(OR($E108&lt;0,$E108&lt;&gt;INT($E108)),"⚠ QUANTIDADE INVÁLIDA",IF($E108=0,"",IF($E108&lt;2,"⚠ ABAIXO DO MÍNIMO (2 un.)","")))))</f>
        <v/>
      </c>
      <c r="M108" s="1">
        <f t="shared" si="15"/>
        <v>0</v>
      </c>
    </row>
    <row r="109" spans="1:13">
      <c r="A109" s="3" t="s">
        <v>334</v>
      </c>
      <c r="B109" s="4" t="s">
        <v>341</v>
      </c>
      <c r="C109" s="5" t="s">
        <v>342</v>
      </c>
      <c r="D109" s="6" t="s">
        <v>343</v>
      </c>
      <c r="E109" s="7">
        <v>0</v>
      </c>
      <c r="F109" s="8">
        <v>299</v>
      </c>
      <c r="G109" s="9">
        <v>269</v>
      </c>
      <c r="H109" s="10">
        <v>0.1</v>
      </c>
      <c r="I109" s="11">
        <v>7.8E-2</v>
      </c>
      <c r="J109" s="12">
        <f t="shared" si="13"/>
        <v>289.98</v>
      </c>
      <c r="K109" s="13">
        <f t="shared" si="14"/>
        <v>0</v>
      </c>
      <c r="L109" s="14" t="str">
        <f>IF($E109="","",IF(NOT(ISNUMBER($E109)),"⚠ QUANTIDADE INVÁLIDA",IF(OR($E109&lt;0,$E109&lt;&gt;INT($E109)),"⚠ QUANTIDADE INVÁLIDA",IF($E109=0,"",IF($E109&lt;2,"⚠ ABAIXO DO MÍNIMO (2 un.)","")))))</f>
        <v/>
      </c>
      <c r="M109" s="1">
        <f t="shared" si="15"/>
        <v>0</v>
      </c>
    </row>
    <row r="110" spans="1:13">
      <c r="A110" s="3" t="s">
        <v>334</v>
      </c>
      <c r="B110" s="4" t="s">
        <v>344</v>
      </c>
      <c r="C110" s="5" t="s">
        <v>345</v>
      </c>
      <c r="D110" s="6" t="s">
        <v>346</v>
      </c>
      <c r="E110" s="7">
        <v>0</v>
      </c>
      <c r="F110" s="8">
        <v>299</v>
      </c>
      <c r="G110" s="9">
        <v>269</v>
      </c>
      <c r="H110" s="10">
        <v>0.1</v>
      </c>
      <c r="I110" s="11">
        <v>7.8E-2</v>
      </c>
      <c r="J110" s="12">
        <f t="shared" si="13"/>
        <v>289.98</v>
      </c>
      <c r="K110" s="13">
        <f t="shared" si="14"/>
        <v>0</v>
      </c>
      <c r="L110" s="14" t="str">
        <f>IF($E110="","",IF(NOT(ISNUMBER($E110)),"⚠ QUANTIDADE INVÁLIDA",IF(OR($E110&lt;0,$E110&lt;&gt;INT($E110)),"⚠ QUANTIDADE INVÁLIDA",IF($E110=0,"",IF($E110&lt;2,"⚠ ABAIXO DO MÍNIMO (2 un.)","")))))</f>
        <v/>
      </c>
      <c r="M110" s="1">
        <f t="shared" si="15"/>
        <v>0</v>
      </c>
    </row>
    <row r="111" spans="1:13">
      <c r="A111" s="15" t="s">
        <v>347</v>
      </c>
      <c r="B111" s="16" t="s">
        <v>348</v>
      </c>
      <c r="C111" s="17" t="s">
        <v>349</v>
      </c>
      <c r="D111" s="16" t="s">
        <v>350</v>
      </c>
      <c r="E111" s="7">
        <v>0</v>
      </c>
      <c r="F111" s="18">
        <v>319</v>
      </c>
      <c r="G111" s="19"/>
      <c r="H111" s="19"/>
      <c r="I111" s="20">
        <v>7.8E-2</v>
      </c>
      <c r="J111" s="21">
        <f t="shared" si="13"/>
        <v>343.88</v>
      </c>
      <c r="K111" s="22">
        <f t="shared" si="14"/>
        <v>0</v>
      </c>
      <c r="L111" s="23" t="str">
        <f>IF($E111="","",IF(NOT(ISNUMBER($E111)),"⚠ QUANTIDADE INVÁLIDA",IF(OR($E111&lt;0,$E111&lt;&gt;INT($E111)),"⚠ QUANTIDADE INVÁLIDA",IF($E111=0,"",IF($E111&lt;2,"⚠ ABAIXO DO MÍNIMO (2 un.)","")))))</f>
        <v/>
      </c>
      <c r="M111" s="1">
        <f t="shared" si="15"/>
        <v>0</v>
      </c>
    </row>
    <row r="112" spans="1:13">
      <c r="A112" s="3" t="s">
        <v>347</v>
      </c>
      <c r="B112" s="4" t="s">
        <v>351</v>
      </c>
      <c r="C112" s="5" t="s">
        <v>352</v>
      </c>
      <c r="D112" s="6" t="s">
        <v>353</v>
      </c>
      <c r="E112" s="7">
        <v>0</v>
      </c>
      <c r="F112" s="8">
        <v>355.95</v>
      </c>
      <c r="G112" s="9">
        <v>189</v>
      </c>
      <c r="H112" s="10">
        <v>0.46899999999999997</v>
      </c>
      <c r="I112" s="11">
        <v>7.8E-2</v>
      </c>
      <c r="J112" s="12">
        <f t="shared" si="13"/>
        <v>203.74</v>
      </c>
      <c r="K112" s="13">
        <f t="shared" si="14"/>
        <v>0</v>
      </c>
      <c r="L112" s="14" t="str">
        <f>IF($E112="","",IF(NOT(ISNUMBER($E112)),"⚠ QUANTIDADE INVÁLIDA",IF(OR($E112&lt;0,$E112&lt;&gt;INT($E112)),"⚠ QUANTIDADE INVÁLIDA",IF($E112=0,"",IF($E112&lt;4,"⚠ ABAIXO DO MÍNIMO (4 un.)","")))))</f>
        <v/>
      </c>
      <c r="M112" s="1">
        <f t="shared" si="15"/>
        <v>0</v>
      </c>
    </row>
    <row r="113" spans="1:13">
      <c r="A113" s="15" t="s">
        <v>354</v>
      </c>
      <c r="B113" s="16" t="s">
        <v>355</v>
      </c>
      <c r="C113" s="17" t="s">
        <v>356</v>
      </c>
      <c r="D113" s="16" t="s">
        <v>357</v>
      </c>
      <c r="E113" s="7">
        <v>0</v>
      </c>
      <c r="F113" s="18">
        <v>289</v>
      </c>
      <c r="G113" s="19"/>
      <c r="H113" s="19"/>
      <c r="I113" s="20">
        <v>7.8E-2</v>
      </c>
      <c r="J113" s="21">
        <f t="shared" si="13"/>
        <v>311.54000000000002</v>
      </c>
      <c r="K113" s="22">
        <f t="shared" si="14"/>
        <v>0</v>
      </c>
      <c r="L113" s="23" t="str">
        <f t="shared" ref="L113:L139" si="16">IF($E113="","",IF(NOT(ISNUMBER($E113)),"⚠ QUANTIDADE INVÁLIDA",IF(OR($E113&lt;0,$E113&lt;&gt;INT($E113)),"⚠ QUANTIDADE INVÁLIDA",IF($E113=0,"",IF($E113&lt;2,"⚠ ABAIXO DO MÍNIMO (2 un.)","")))))</f>
        <v/>
      </c>
      <c r="M113" s="1">
        <f t="shared" si="15"/>
        <v>0</v>
      </c>
    </row>
    <row r="114" spans="1:13">
      <c r="A114" s="15" t="s">
        <v>358</v>
      </c>
      <c r="B114" s="16" t="s">
        <v>359</v>
      </c>
      <c r="C114" s="17" t="s">
        <v>360</v>
      </c>
      <c r="D114" s="16" t="s">
        <v>361</v>
      </c>
      <c r="E114" s="7">
        <v>0</v>
      </c>
      <c r="F114" s="18">
        <v>313</v>
      </c>
      <c r="G114" s="19"/>
      <c r="H114" s="19"/>
      <c r="I114" s="20">
        <v>7.8E-2</v>
      </c>
      <c r="J114" s="21">
        <f t="shared" si="13"/>
        <v>337.41</v>
      </c>
      <c r="K114" s="22">
        <f t="shared" si="14"/>
        <v>0</v>
      </c>
      <c r="L114" s="23" t="str">
        <f t="shared" si="16"/>
        <v/>
      </c>
      <c r="M114" s="1">
        <f t="shared" si="15"/>
        <v>0</v>
      </c>
    </row>
    <row r="115" spans="1:13">
      <c r="A115" s="15" t="s">
        <v>358</v>
      </c>
      <c r="B115" s="16" t="s">
        <v>362</v>
      </c>
      <c r="C115" s="17" t="s">
        <v>363</v>
      </c>
      <c r="D115" s="16" t="s">
        <v>364</v>
      </c>
      <c r="E115" s="7">
        <v>0</v>
      </c>
      <c r="F115" s="18">
        <v>429</v>
      </c>
      <c r="G115" s="19"/>
      <c r="H115" s="19"/>
      <c r="I115" s="20">
        <v>7.8E-2</v>
      </c>
      <c r="J115" s="21">
        <f t="shared" si="13"/>
        <v>462.46</v>
      </c>
      <c r="K115" s="22">
        <f t="shared" si="14"/>
        <v>0</v>
      </c>
      <c r="L115" s="23" t="str">
        <f t="shared" si="16"/>
        <v/>
      </c>
      <c r="M115" s="1">
        <f t="shared" si="15"/>
        <v>0</v>
      </c>
    </row>
    <row r="116" spans="1:13">
      <c r="A116" s="15" t="s">
        <v>358</v>
      </c>
      <c r="B116" s="16" t="s">
        <v>365</v>
      </c>
      <c r="C116" s="17" t="s">
        <v>366</v>
      </c>
      <c r="D116" s="16" t="s">
        <v>367</v>
      </c>
      <c r="E116" s="7">
        <v>0</v>
      </c>
      <c r="F116" s="18">
        <v>329</v>
      </c>
      <c r="G116" s="19"/>
      <c r="H116" s="19"/>
      <c r="I116" s="20">
        <v>7.8E-2</v>
      </c>
      <c r="J116" s="21">
        <f t="shared" si="13"/>
        <v>354.66</v>
      </c>
      <c r="K116" s="22">
        <f t="shared" si="14"/>
        <v>0</v>
      </c>
      <c r="L116" s="23" t="str">
        <f t="shared" si="16"/>
        <v/>
      </c>
      <c r="M116" s="1">
        <f t="shared" si="15"/>
        <v>0</v>
      </c>
    </row>
    <row r="117" spans="1:13">
      <c r="A117" s="15" t="s">
        <v>368</v>
      </c>
      <c r="B117" s="16" t="s">
        <v>369</v>
      </c>
      <c r="C117" s="17" t="s">
        <v>370</v>
      </c>
      <c r="D117" s="16" t="s">
        <v>371</v>
      </c>
      <c r="E117" s="7">
        <v>0</v>
      </c>
      <c r="F117" s="18">
        <v>313</v>
      </c>
      <c r="G117" s="19"/>
      <c r="H117" s="19"/>
      <c r="I117" s="20">
        <v>7.8E-2</v>
      </c>
      <c r="J117" s="21">
        <f t="shared" si="13"/>
        <v>337.41</v>
      </c>
      <c r="K117" s="22">
        <f t="shared" si="14"/>
        <v>0</v>
      </c>
      <c r="L117" s="23" t="str">
        <f t="shared" si="16"/>
        <v/>
      </c>
      <c r="M117" s="1">
        <f t="shared" si="15"/>
        <v>0</v>
      </c>
    </row>
    <row r="118" spans="1:13">
      <c r="A118" s="3" t="s">
        <v>368</v>
      </c>
      <c r="B118" s="4" t="s">
        <v>372</v>
      </c>
      <c r="C118" s="5" t="s">
        <v>373</v>
      </c>
      <c r="D118" s="6" t="s">
        <v>374</v>
      </c>
      <c r="E118" s="7">
        <v>0</v>
      </c>
      <c r="F118" s="8">
        <v>326.55</v>
      </c>
      <c r="G118" s="9">
        <v>189</v>
      </c>
      <c r="H118" s="10">
        <v>0.42099999999999999</v>
      </c>
      <c r="I118" s="11">
        <v>7.8E-2</v>
      </c>
      <c r="J118" s="12">
        <f t="shared" si="13"/>
        <v>203.74</v>
      </c>
      <c r="K118" s="13">
        <f t="shared" si="14"/>
        <v>0</v>
      </c>
      <c r="L118" s="14" t="str">
        <f t="shared" si="16"/>
        <v/>
      </c>
      <c r="M118" s="1">
        <f t="shared" si="15"/>
        <v>0</v>
      </c>
    </row>
    <row r="119" spans="1:13">
      <c r="A119" s="15" t="s">
        <v>368</v>
      </c>
      <c r="B119" s="16" t="s">
        <v>375</v>
      </c>
      <c r="C119" s="17" t="s">
        <v>376</v>
      </c>
      <c r="D119" s="16" t="s">
        <v>377</v>
      </c>
      <c r="E119" s="7">
        <v>0</v>
      </c>
      <c r="F119" s="18">
        <v>429</v>
      </c>
      <c r="G119" s="19"/>
      <c r="H119" s="19"/>
      <c r="I119" s="20">
        <v>7.8E-2</v>
      </c>
      <c r="J119" s="21">
        <f t="shared" si="13"/>
        <v>462.46</v>
      </c>
      <c r="K119" s="22">
        <f t="shared" si="14"/>
        <v>0</v>
      </c>
      <c r="L119" s="23" t="str">
        <f t="shared" si="16"/>
        <v/>
      </c>
      <c r="M119" s="1">
        <f t="shared" si="15"/>
        <v>0</v>
      </c>
    </row>
    <row r="120" spans="1:13">
      <c r="A120" s="3" t="s">
        <v>378</v>
      </c>
      <c r="B120" s="4" t="s">
        <v>379</v>
      </c>
      <c r="C120" s="5" t="s">
        <v>380</v>
      </c>
      <c r="D120" s="6" t="s">
        <v>381</v>
      </c>
      <c r="E120" s="7">
        <v>0</v>
      </c>
      <c r="F120" s="8">
        <v>234</v>
      </c>
      <c r="G120" s="9">
        <v>210.6</v>
      </c>
      <c r="H120" s="10">
        <v>0.1</v>
      </c>
      <c r="I120" s="11">
        <v>7.8E-2</v>
      </c>
      <c r="J120" s="12">
        <f t="shared" si="13"/>
        <v>227.03</v>
      </c>
      <c r="K120" s="13">
        <f t="shared" si="14"/>
        <v>0</v>
      </c>
      <c r="L120" s="14" t="str">
        <f t="shared" si="16"/>
        <v/>
      </c>
      <c r="M120" s="1">
        <f t="shared" si="15"/>
        <v>0</v>
      </c>
    </row>
    <row r="121" spans="1:13">
      <c r="A121" s="3" t="s">
        <v>378</v>
      </c>
      <c r="B121" s="4" t="s">
        <v>382</v>
      </c>
      <c r="C121" s="5" t="s">
        <v>383</v>
      </c>
      <c r="D121" s="6" t="s">
        <v>384</v>
      </c>
      <c r="E121" s="7">
        <v>0</v>
      </c>
      <c r="F121" s="8">
        <v>249</v>
      </c>
      <c r="G121" s="9">
        <v>224.1</v>
      </c>
      <c r="H121" s="10">
        <v>0.1</v>
      </c>
      <c r="I121" s="11">
        <v>7.8E-2</v>
      </c>
      <c r="J121" s="12">
        <f t="shared" si="13"/>
        <v>241.58</v>
      </c>
      <c r="K121" s="13">
        <f t="shared" si="14"/>
        <v>0</v>
      </c>
      <c r="L121" s="14" t="str">
        <f t="shared" si="16"/>
        <v/>
      </c>
      <c r="M121" s="1">
        <f t="shared" si="15"/>
        <v>0</v>
      </c>
    </row>
    <row r="122" spans="1:13">
      <c r="A122" s="3" t="s">
        <v>378</v>
      </c>
      <c r="B122" s="4" t="s">
        <v>385</v>
      </c>
      <c r="C122" s="5" t="s">
        <v>386</v>
      </c>
      <c r="D122" s="6" t="s">
        <v>387</v>
      </c>
      <c r="E122" s="7">
        <v>0</v>
      </c>
      <c r="F122" s="8">
        <v>269</v>
      </c>
      <c r="G122" s="9">
        <v>228.65</v>
      </c>
      <c r="H122" s="10">
        <v>0.15</v>
      </c>
      <c r="I122" s="11">
        <v>7.8E-2</v>
      </c>
      <c r="J122" s="12">
        <f t="shared" si="13"/>
        <v>246.48</v>
      </c>
      <c r="K122" s="13">
        <f t="shared" si="14"/>
        <v>0</v>
      </c>
      <c r="L122" s="14" t="str">
        <f t="shared" si="16"/>
        <v/>
      </c>
      <c r="M122" s="1">
        <f t="shared" si="15"/>
        <v>0</v>
      </c>
    </row>
    <row r="123" spans="1:13">
      <c r="A123" s="3" t="s">
        <v>378</v>
      </c>
      <c r="B123" s="4" t="s">
        <v>388</v>
      </c>
      <c r="C123" s="5" t="s">
        <v>389</v>
      </c>
      <c r="D123" s="6" t="s">
        <v>390</v>
      </c>
      <c r="E123" s="7">
        <v>0</v>
      </c>
      <c r="F123" s="8">
        <v>299</v>
      </c>
      <c r="G123" s="9">
        <v>254.15</v>
      </c>
      <c r="H123" s="10">
        <v>0.15</v>
      </c>
      <c r="I123" s="11">
        <v>7.8E-2</v>
      </c>
      <c r="J123" s="12">
        <f t="shared" si="13"/>
        <v>273.97000000000003</v>
      </c>
      <c r="K123" s="13">
        <f t="shared" si="14"/>
        <v>0</v>
      </c>
      <c r="L123" s="14" t="str">
        <f t="shared" si="16"/>
        <v/>
      </c>
      <c r="M123" s="1">
        <f t="shared" si="15"/>
        <v>0</v>
      </c>
    </row>
    <row r="124" spans="1:13">
      <c r="A124" s="3" t="s">
        <v>391</v>
      </c>
      <c r="B124" s="4" t="s">
        <v>392</v>
      </c>
      <c r="C124" s="5" t="s">
        <v>393</v>
      </c>
      <c r="D124" s="6" t="s">
        <v>394</v>
      </c>
      <c r="E124" s="7">
        <v>0</v>
      </c>
      <c r="F124" s="8">
        <v>199</v>
      </c>
      <c r="G124" s="9">
        <v>179.1</v>
      </c>
      <c r="H124" s="10">
        <v>0.1</v>
      </c>
      <c r="I124" s="11">
        <v>7.8E-2</v>
      </c>
      <c r="J124" s="12">
        <f t="shared" si="13"/>
        <v>193.07</v>
      </c>
      <c r="K124" s="13">
        <f t="shared" si="14"/>
        <v>0</v>
      </c>
      <c r="L124" s="14" t="str">
        <f t="shared" si="16"/>
        <v/>
      </c>
      <c r="M124" s="1">
        <f t="shared" si="15"/>
        <v>0</v>
      </c>
    </row>
    <row r="125" spans="1:13">
      <c r="A125" s="3" t="s">
        <v>391</v>
      </c>
      <c r="B125" s="4" t="s">
        <v>395</v>
      </c>
      <c r="C125" s="5" t="s">
        <v>396</v>
      </c>
      <c r="D125" s="6" t="s">
        <v>397</v>
      </c>
      <c r="E125" s="7">
        <v>0</v>
      </c>
      <c r="F125" s="8">
        <v>219</v>
      </c>
      <c r="G125" s="9">
        <v>197.1</v>
      </c>
      <c r="H125" s="10">
        <v>0.1</v>
      </c>
      <c r="I125" s="11">
        <v>7.8E-2</v>
      </c>
      <c r="J125" s="12">
        <f t="shared" si="13"/>
        <v>212.47</v>
      </c>
      <c r="K125" s="13">
        <f t="shared" si="14"/>
        <v>0</v>
      </c>
      <c r="L125" s="14" t="str">
        <f t="shared" si="16"/>
        <v/>
      </c>
      <c r="M125" s="1">
        <f t="shared" si="15"/>
        <v>0</v>
      </c>
    </row>
    <row r="126" spans="1:13">
      <c r="A126" s="3" t="s">
        <v>391</v>
      </c>
      <c r="B126" s="4" t="s">
        <v>398</v>
      </c>
      <c r="C126" s="5" t="s">
        <v>399</v>
      </c>
      <c r="D126" s="6" t="s">
        <v>400</v>
      </c>
      <c r="E126" s="7">
        <v>0</v>
      </c>
      <c r="F126" s="8">
        <v>239</v>
      </c>
      <c r="G126" s="9">
        <v>203.15</v>
      </c>
      <c r="H126" s="10">
        <v>0.15</v>
      </c>
      <c r="I126" s="11">
        <v>7.8E-2</v>
      </c>
      <c r="J126" s="12">
        <f t="shared" si="13"/>
        <v>219</v>
      </c>
      <c r="K126" s="13">
        <f t="shared" si="14"/>
        <v>0</v>
      </c>
      <c r="L126" s="14" t="str">
        <f t="shared" si="16"/>
        <v/>
      </c>
      <c r="M126" s="1">
        <f t="shared" si="15"/>
        <v>0</v>
      </c>
    </row>
    <row r="127" spans="1:13">
      <c r="A127" s="3" t="s">
        <v>391</v>
      </c>
      <c r="B127" s="4" t="s">
        <v>401</v>
      </c>
      <c r="C127" s="5" t="s">
        <v>402</v>
      </c>
      <c r="D127" s="6" t="s">
        <v>403</v>
      </c>
      <c r="E127" s="7">
        <v>0</v>
      </c>
      <c r="F127" s="8">
        <v>269</v>
      </c>
      <c r="G127" s="9">
        <v>228.65</v>
      </c>
      <c r="H127" s="10">
        <v>0.15</v>
      </c>
      <c r="I127" s="11">
        <v>7.8E-2</v>
      </c>
      <c r="J127" s="12">
        <f t="shared" si="13"/>
        <v>246.48</v>
      </c>
      <c r="K127" s="13">
        <f t="shared" si="14"/>
        <v>0</v>
      </c>
      <c r="L127" s="14" t="str">
        <f t="shared" si="16"/>
        <v/>
      </c>
      <c r="M127" s="1">
        <f t="shared" si="15"/>
        <v>0</v>
      </c>
    </row>
    <row r="128" spans="1:13">
      <c r="A128" s="3" t="s">
        <v>404</v>
      </c>
      <c r="B128" s="4" t="s">
        <v>405</v>
      </c>
      <c r="C128" s="5" t="s">
        <v>406</v>
      </c>
      <c r="D128" s="6" t="s">
        <v>407</v>
      </c>
      <c r="E128" s="7">
        <v>0</v>
      </c>
      <c r="F128" s="8">
        <v>229</v>
      </c>
      <c r="G128" s="9">
        <v>206.1</v>
      </c>
      <c r="H128" s="10">
        <v>0.1</v>
      </c>
      <c r="I128" s="11">
        <v>7.8E-2</v>
      </c>
      <c r="J128" s="12">
        <f t="shared" si="13"/>
        <v>222.18</v>
      </c>
      <c r="K128" s="13">
        <f t="shared" si="14"/>
        <v>0</v>
      </c>
      <c r="L128" s="14" t="str">
        <f t="shared" si="16"/>
        <v/>
      </c>
      <c r="M128" s="1">
        <f t="shared" si="15"/>
        <v>0</v>
      </c>
    </row>
    <row r="129" spans="1:13">
      <c r="A129" s="3" t="s">
        <v>404</v>
      </c>
      <c r="B129" s="4" t="s">
        <v>408</v>
      </c>
      <c r="C129" s="5" t="s">
        <v>409</v>
      </c>
      <c r="D129" s="6" t="s">
        <v>410</v>
      </c>
      <c r="E129" s="7">
        <v>0</v>
      </c>
      <c r="F129" s="8">
        <v>239</v>
      </c>
      <c r="G129" s="9">
        <v>215.1</v>
      </c>
      <c r="H129" s="10">
        <v>0.1</v>
      </c>
      <c r="I129" s="11">
        <v>7.8E-2</v>
      </c>
      <c r="J129" s="12">
        <f t="shared" si="13"/>
        <v>231.88</v>
      </c>
      <c r="K129" s="13">
        <f t="shared" si="14"/>
        <v>0</v>
      </c>
      <c r="L129" s="14" t="str">
        <f t="shared" si="16"/>
        <v/>
      </c>
      <c r="M129" s="1">
        <f t="shared" si="15"/>
        <v>0</v>
      </c>
    </row>
    <row r="130" spans="1:13">
      <c r="A130" s="3" t="s">
        <v>404</v>
      </c>
      <c r="B130" s="4" t="s">
        <v>411</v>
      </c>
      <c r="C130" s="5" t="s">
        <v>412</v>
      </c>
      <c r="D130" s="6" t="s">
        <v>413</v>
      </c>
      <c r="E130" s="7">
        <v>0</v>
      </c>
      <c r="F130" s="8">
        <v>329</v>
      </c>
      <c r="G130" s="9">
        <v>296.10000000000002</v>
      </c>
      <c r="H130" s="10">
        <v>0.1</v>
      </c>
      <c r="I130" s="11">
        <v>7.8E-2</v>
      </c>
      <c r="J130" s="12">
        <f t="shared" si="13"/>
        <v>319.2</v>
      </c>
      <c r="K130" s="13">
        <f t="shared" si="14"/>
        <v>0</v>
      </c>
      <c r="L130" s="14" t="str">
        <f t="shared" si="16"/>
        <v/>
      </c>
      <c r="M130" s="1">
        <f t="shared" si="15"/>
        <v>0</v>
      </c>
    </row>
    <row r="131" spans="1:13">
      <c r="A131" s="3" t="s">
        <v>404</v>
      </c>
      <c r="B131" s="4" t="s">
        <v>414</v>
      </c>
      <c r="C131" s="5" t="s">
        <v>415</v>
      </c>
      <c r="D131" s="6" t="s">
        <v>416</v>
      </c>
      <c r="E131" s="7">
        <v>0</v>
      </c>
      <c r="F131" s="8">
        <v>345</v>
      </c>
      <c r="G131" s="9">
        <v>310.5</v>
      </c>
      <c r="H131" s="10">
        <v>0.1</v>
      </c>
      <c r="I131" s="11">
        <v>7.8E-2</v>
      </c>
      <c r="J131" s="12">
        <f t="shared" si="13"/>
        <v>334.72</v>
      </c>
      <c r="K131" s="13">
        <f t="shared" si="14"/>
        <v>0</v>
      </c>
      <c r="L131" s="14" t="str">
        <f t="shared" si="16"/>
        <v/>
      </c>
      <c r="M131" s="1">
        <f t="shared" si="15"/>
        <v>0</v>
      </c>
    </row>
    <row r="132" spans="1:13">
      <c r="A132" s="15" t="s">
        <v>404</v>
      </c>
      <c r="B132" s="16" t="s">
        <v>417</v>
      </c>
      <c r="C132" s="17" t="s">
        <v>418</v>
      </c>
      <c r="D132" s="16" t="s">
        <v>419</v>
      </c>
      <c r="E132" s="7">
        <v>0</v>
      </c>
      <c r="F132" s="18">
        <v>239</v>
      </c>
      <c r="G132" s="19"/>
      <c r="H132" s="19"/>
      <c r="I132" s="20">
        <v>7.8E-2</v>
      </c>
      <c r="J132" s="21">
        <f t="shared" si="13"/>
        <v>257.64</v>
      </c>
      <c r="K132" s="22">
        <f t="shared" si="14"/>
        <v>0</v>
      </c>
      <c r="L132" s="23" t="str">
        <f t="shared" si="16"/>
        <v/>
      </c>
      <c r="M132" s="1">
        <f t="shared" si="15"/>
        <v>0</v>
      </c>
    </row>
    <row r="133" spans="1:13">
      <c r="A133" s="3" t="s">
        <v>420</v>
      </c>
      <c r="B133" s="4" t="s">
        <v>421</v>
      </c>
      <c r="C133" s="5" t="s">
        <v>422</v>
      </c>
      <c r="D133" s="6" t="s">
        <v>423</v>
      </c>
      <c r="E133" s="7">
        <v>0</v>
      </c>
      <c r="F133" s="8">
        <v>229</v>
      </c>
      <c r="G133" s="9">
        <v>206.1</v>
      </c>
      <c r="H133" s="10">
        <v>0.1</v>
      </c>
      <c r="I133" s="11">
        <v>7.8E-2</v>
      </c>
      <c r="J133" s="12">
        <f t="shared" si="13"/>
        <v>222.18</v>
      </c>
      <c r="K133" s="13">
        <f t="shared" si="14"/>
        <v>0</v>
      </c>
      <c r="L133" s="14" t="str">
        <f t="shared" si="16"/>
        <v/>
      </c>
      <c r="M133" s="1">
        <f t="shared" si="15"/>
        <v>0</v>
      </c>
    </row>
    <row r="134" spans="1:13">
      <c r="A134" s="3" t="s">
        <v>420</v>
      </c>
      <c r="B134" s="4" t="s">
        <v>424</v>
      </c>
      <c r="C134" s="5" t="s">
        <v>425</v>
      </c>
      <c r="D134" s="6" t="s">
        <v>426</v>
      </c>
      <c r="E134" s="7">
        <v>0</v>
      </c>
      <c r="F134" s="8">
        <v>239</v>
      </c>
      <c r="G134" s="9">
        <v>215.1</v>
      </c>
      <c r="H134" s="10">
        <v>0.1</v>
      </c>
      <c r="I134" s="11">
        <v>7.8E-2</v>
      </c>
      <c r="J134" s="12">
        <f t="shared" si="13"/>
        <v>231.88</v>
      </c>
      <c r="K134" s="13">
        <f t="shared" si="14"/>
        <v>0</v>
      </c>
      <c r="L134" s="14" t="str">
        <f t="shared" si="16"/>
        <v/>
      </c>
      <c r="M134" s="1">
        <f t="shared" si="15"/>
        <v>0</v>
      </c>
    </row>
    <row r="135" spans="1:13">
      <c r="A135" s="3" t="s">
        <v>420</v>
      </c>
      <c r="B135" s="4" t="s">
        <v>427</v>
      </c>
      <c r="C135" s="5" t="s">
        <v>428</v>
      </c>
      <c r="D135" s="6" t="s">
        <v>429</v>
      </c>
      <c r="E135" s="7">
        <v>0</v>
      </c>
      <c r="F135" s="8">
        <v>329</v>
      </c>
      <c r="G135" s="9">
        <v>296.10000000000002</v>
      </c>
      <c r="H135" s="10">
        <v>0.1</v>
      </c>
      <c r="I135" s="11">
        <v>7.8E-2</v>
      </c>
      <c r="J135" s="12">
        <f t="shared" ref="J135:J146" si="17">ROUND(IF($G135&lt;&gt;"",$G135,$F135)*(1+$I135),2)</f>
        <v>319.2</v>
      </c>
      <c r="K135" s="13">
        <f t="shared" ref="K135:K146" si="18">$M135*$J135</f>
        <v>0</v>
      </c>
      <c r="L135" s="14" t="str">
        <f t="shared" si="16"/>
        <v/>
      </c>
      <c r="M135" s="1">
        <f t="shared" ref="M135:M146" si="19">IF(ISNUMBER($E135),IF(AND($E135&gt;=0,$E135=INT($E135)),$E135,0),0)</f>
        <v>0</v>
      </c>
    </row>
    <row r="136" spans="1:13">
      <c r="A136" s="3" t="s">
        <v>420</v>
      </c>
      <c r="B136" s="4" t="s">
        <v>430</v>
      </c>
      <c r="C136" s="5" t="s">
        <v>431</v>
      </c>
      <c r="D136" s="6" t="s">
        <v>432</v>
      </c>
      <c r="E136" s="7">
        <v>0</v>
      </c>
      <c r="F136" s="8">
        <v>345</v>
      </c>
      <c r="G136" s="9">
        <v>310.5</v>
      </c>
      <c r="H136" s="10">
        <v>0.1</v>
      </c>
      <c r="I136" s="11">
        <v>7.8E-2</v>
      </c>
      <c r="J136" s="12">
        <f t="shared" si="17"/>
        <v>334.72</v>
      </c>
      <c r="K136" s="13">
        <f t="shared" si="18"/>
        <v>0</v>
      </c>
      <c r="L136" s="14" t="str">
        <f t="shared" si="16"/>
        <v/>
      </c>
      <c r="M136" s="1">
        <f t="shared" si="19"/>
        <v>0</v>
      </c>
    </row>
    <row r="137" spans="1:13">
      <c r="A137" s="3" t="s">
        <v>433</v>
      </c>
      <c r="B137" s="4" t="s">
        <v>434</v>
      </c>
      <c r="C137" s="5" t="s">
        <v>435</v>
      </c>
      <c r="D137" s="6" t="s">
        <v>436</v>
      </c>
      <c r="E137" s="7">
        <v>0</v>
      </c>
      <c r="F137" s="8">
        <v>313.88</v>
      </c>
      <c r="G137" s="9">
        <v>189</v>
      </c>
      <c r="H137" s="10">
        <v>0.39800000000000002</v>
      </c>
      <c r="I137" s="11">
        <v>7.8E-2</v>
      </c>
      <c r="J137" s="12">
        <f t="shared" si="17"/>
        <v>203.74</v>
      </c>
      <c r="K137" s="13">
        <f t="shared" si="18"/>
        <v>0</v>
      </c>
      <c r="L137" s="14" t="str">
        <f t="shared" si="16"/>
        <v/>
      </c>
      <c r="M137" s="1">
        <f t="shared" si="19"/>
        <v>0</v>
      </c>
    </row>
    <row r="138" spans="1:13">
      <c r="A138" s="3" t="s">
        <v>433</v>
      </c>
      <c r="B138" s="4" t="s">
        <v>437</v>
      </c>
      <c r="C138" s="5" t="s">
        <v>438</v>
      </c>
      <c r="D138" s="6" t="s">
        <v>439</v>
      </c>
      <c r="E138" s="7">
        <v>0</v>
      </c>
      <c r="F138" s="8">
        <v>324.89999999999998</v>
      </c>
      <c r="G138" s="9">
        <v>189</v>
      </c>
      <c r="H138" s="10">
        <v>0.41799999999999998</v>
      </c>
      <c r="I138" s="11">
        <v>7.8E-2</v>
      </c>
      <c r="J138" s="12">
        <f t="shared" si="17"/>
        <v>203.74</v>
      </c>
      <c r="K138" s="13">
        <f t="shared" si="18"/>
        <v>0</v>
      </c>
      <c r="L138" s="14" t="str">
        <f t="shared" si="16"/>
        <v/>
      </c>
      <c r="M138" s="1">
        <f t="shared" si="19"/>
        <v>0</v>
      </c>
    </row>
    <row r="139" spans="1:13">
      <c r="A139" s="15" t="s">
        <v>440</v>
      </c>
      <c r="B139" s="16" t="s">
        <v>441</v>
      </c>
      <c r="C139" s="17" t="s">
        <v>442</v>
      </c>
      <c r="D139" s="16" t="s">
        <v>443</v>
      </c>
      <c r="E139" s="7">
        <v>0</v>
      </c>
      <c r="F139" s="18">
        <v>49.34</v>
      </c>
      <c r="G139" s="19"/>
      <c r="H139" s="19"/>
      <c r="I139" s="20">
        <v>7.8E-2</v>
      </c>
      <c r="J139" s="21">
        <f t="shared" si="17"/>
        <v>53.19</v>
      </c>
      <c r="K139" s="22">
        <f t="shared" si="18"/>
        <v>0</v>
      </c>
      <c r="L139" s="23" t="str">
        <f t="shared" si="16"/>
        <v/>
      </c>
      <c r="M139" s="1">
        <f t="shared" si="19"/>
        <v>0</v>
      </c>
    </row>
    <row r="140" spans="1:13">
      <c r="A140" s="3" t="s">
        <v>444</v>
      </c>
      <c r="B140" s="4" t="s">
        <v>445</v>
      </c>
      <c r="C140" s="5" t="s">
        <v>446</v>
      </c>
      <c r="D140" s="6" t="s">
        <v>447</v>
      </c>
      <c r="E140" s="7">
        <v>0</v>
      </c>
      <c r="F140" s="8">
        <v>23.9</v>
      </c>
      <c r="G140" s="9">
        <v>17.899999999999999</v>
      </c>
      <c r="H140" s="10">
        <v>0.251</v>
      </c>
      <c r="I140" s="11">
        <v>0</v>
      </c>
      <c r="J140" s="12">
        <f t="shared" si="17"/>
        <v>17.899999999999999</v>
      </c>
      <c r="K140" s="13">
        <f t="shared" si="18"/>
        <v>0</v>
      </c>
      <c r="L140" s="14" t="str">
        <f t="shared" ref="L140:L145" si="20">IF($E140="","",IF(NOT(ISNUMBER($E140)),"⚠ QUANTIDADE INVÁLIDA",IF(OR($E140&lt;0,$E140&lt;&gt;INT($E140)),"⚠ QUANTIDADE INVÁLIDA",IF($E140=0,"",IF(AND($E140&gt;=6,MOD($E140,6)=0),"","⚠ NÃO FECHA CAIXA (múltiplos de 6)")))))</f>
        <v/>
      </c>
      <c r="M140" s="1">
        <f t="shared" si="19"/>
        <v>0</v>
      </c>
    </row>
    <row r="141" spans="1:13">
      <c r="A141" s="3" t="s">
        <v>444</v>
      </c>
      <c r="B141" s="4" t="s">
        <v>448</v>
      </c>
      <c r="C141" s="5" t="s">
        <v>449</v>
      </c>
      <c r="D141" s="6" t="s">
        <v>450</v>
      </c>
      <c r="E141" s="7">
        <v>0</v>
      </c>
      <c r="F141" s="8">
        <v>23.9</v>
      </c>
      <c r="G141" s="9">
        <v>17.899999999999999</v>
      </c>
      <c r="H141" s="10">
        <v>0.251</v>
      </c>
      <c r="I141" s="11">
        <v>0</v>
      </c>
      <c r="J141" s="12">
        <f t="shared" si="17"/>
        <v>17.899999999999999</v>
      </c>
      <c r="K141" s="13">
        <f t="shared" si="18"/>
        <v>0</v>
      </c>
      <c r="L141" s="14" t="str">
        <f t="shared" si="20"/>
        <v/>
      </c>
      <c r="M141" s="1">
        <f t="shared" si="19"/>
        <v>0</v>
      </c>
    </row>
    <row r="142" spans="1:13">
      <c r="A142" s="3" t="s">
        <v>444</v>
      </c>
      <c r="B142" s="4" t="s">
        <v>451</v>
      </c>
      <c r="C142" s="5" t="s">
        <v>452</v>
      </c>
      <c r="D142" s="6" t="s">
        <v>453</v>
      </c>
      <c r="E142" s="7">
        <v>0</v>
      </c>
      <c r="F142" s="8">
        <v>23.9</v>
      </c>
      <c r="G142" s="9">
        <v>17.899999999999999</v>
      </c>
      <c r="H142" s="10">
        <v>0.251</v>
      </c>
      <c r="I142" s="11">
        <v>0</v>
      </c>
      <c r="J142" s="12">
        <f t="shared" si="17"/>
        <v>17.899999999999999</v>
      </c>
      <c r="K142" s="13">
        <f t="shared" si="18"/>
        <v>0</v>
      </c>
      <c r="L142" s="14" t="str">
        <f t="shared" si="20"/>
        <v/>
      </c>
      <c r="M142" s="1">
        <f t="shared" si="19"/>
        <v>0</v>
      </c>
    </row>
    <row r="143" spans="1:13">
      <c r="A143" s="3" t="s">
        <v>444</v>
      </c>
      <c r="B143" s="4" t="s">
        <v>454</v>
      </c>
      <c r="C143" s="5" t="s">
        <v>455</v>
      </c>
      <c r="D143" s="6" t="s">
        <v>456</v>
      </c>
      <c r="E143" s="7">
        <v>0</v>
      </c>
      <c r="F143" s="8">
        <v>24.9</v>
      </c>
      <c r="G143" s="9">
        <v>18.899999999999999</v>
      </c>
      <c r="H143" s="10">
        <v>0.24099999999999999</v>
      </c>
      <c r="I143" s="11">
        <v>0</v>
      </c>
      <c r="J143" s="12">
        <f t="shared" si="17"/>
        <v>18.899999999999999</v>
      </c>
      <c r="K143" s="13">
        <f t="shared" si="18"/>
        <v>0</v>
      </c>
      <c r="L143" s="14" t="str">
        <f t="shared" si="20"/>
        <v/>
      </c>
      <c r="M143" s="1">
        <f t="shared" si="19"/>
        <v>0</v>
      </c>
    </row>
    <row r="144" spans="1:13">
      <c r="A144" s="3" t="s">
        <v>444</v>
      </c>
      <c r="B144" s="4" t="s">
        <v>457</v>
      </c>
      <c r="C144" s="5" t="s">
        <v>458</v>
      </c>
      <c r="D144" s="6" t="s">
        <v>459</v>
      </c>
      <c r="E144" s="7">
        <v>0</v>
      </c>
      <c r="F144" s="8">
        <v>24.9</v>
      </c>
      <c r="G144" s="9">
        <v>18.899999999999999</v>
      </c>
      <c r="H144" s="10">
        <v>0.24099999999999999</v>
      </c>
      <c r="I144" s="11">
        <v>0</v>
      </c>
      <c r="J144" s="12">
        <f t="shared" si="17"/>
        <v>18.899999999999999</v>
      </c>
      <c r="K144" s="13">
        <f t="shared" si="18"/>
        <v>0</v>
      </c>
      <c r="L144" s="14" t="str">
        <f t="shared" si="20"/>
        <v/>
      </c>
      <c r="M144" s="1">
        <f t="shared" si="19"/>
        <v>0</v>
      </c>
    </row>
    <row r="145" spans="1:13">
      <c r="A145" s="3" t="s">
        <v>444</v>
      </c>
      <c r="B145" s="4" t="s">
        <v>460</v>
      </c>
      <c r="C145" s="5" t="s">
        <v>461</v>
      </c>
      <c r="D145" s="6" t="s">
        <v>462</v>
      </c>
      <c r="E145" s="7">
        <v>0</v>
      </c>
      <c r="F145" s="8">
        <v>24.9</v>
      </c>
      <c r="G145" s="9">
        <v>18.899999999999999</v>
      </c>
      <c r="H145" s="10">
        <v>0.24099999999999999</v>
      </c>
      <c r="I145" s="11">
        <v>0</v>
      </c>
      <c r="J145" s="12">
        <f t="shared" si="17"/>
        <v>18.899999999999999</v>
      </c>
      <c r="K145" s="13">
        <f t="shared" si="18"/>
        <v>0</v>
      </c>
      <c r="L145" s="14" t="str">
        <f t="shared" si="20"/>
        <v/>
      </c>
      <c r="M145" s="1">
        <f t="shared" si="19"/>
        <v>0</v>
      </c>
    </row>
    <row r="146" spans="1:13">
      <c r="A146" s="15" t="s">
        <v>463</v>
      </c>
      <c r="B146" s="16" t="s">
        <v>464</v>
      </c>
      <c r="C146" s="17" t="s">
        <v>465</v>
      </c>
      <c r="D146" s="16" t="s">
        <v>466</v>
      </c>
      <c r="E146" s="7">
        <v>0</v>
      </c>
      <c r="F146" s="18">
        <v>129</v>
      </c>
      <c r="G146" s="19"/>
      <c r="H146" s="19"/>
      <c r="I146" s="20">
        <v>0.13</v>
      </c>
      <c r="J146" s="21">
        <f t="shared" si="17"/>
        <v>145.77000000000001</v>
      </c>
      <c r="K146" s="22">
        <f t="shared" si="18"/>
        <v>0</v>
      </c>
      <c r="L146" s="23" t="str">
        <f>IF($E146="","",IF(NOT(ISNUMBER($E146)),"⚠ QUANTIDADE INVÁLIDA",IF(OR($E146&lt;0,$E146&lt;&gt;INT($E146)),"⚠ QUANTIDADE INVÁLIDA",IF($E146=0,"",IF(AND($E146&gt;=4,MOD($E146,4)=0),"","⚠ NÃO FECHA CAIXA (múltiplos de 4)")))))</f>
        <v/>
      </c>
      <c r="M146" s="1">
        <f t="shared" si="19"/>
        <v>0</v>
      </c>
    </row>
    <row r="147" spans="1:13" ht="15.75">
      <c r="A147" s="45" t="s">
        <v>467</v>
      </c>
      <c r="B147" s="46"/>
      <c r="C147" s="46"/>
      <c r="D147" s="46"/>
      <c r="E147" s="25">
        <f>SUM($M$7:$M$146)</f>
        <v>10</v>
      </c>
      <c r="F147" s="24"/>
      <c r="G147" s="24"/>
      <c r="H147" s="24"/>
      <c r="I147" s="24"/>
      <c r="J147" s="24"/>
      <c r="K147" s="26">
        <f>SUM($K$7:$K$146)</f>
        <v>7898.7</v>
      </c>
      <c r="L147" s="24"/>
    </row>
  </sheetData>
  <sheetProtection password="CDB2" sheet="1" formatColumns="0" sort="0" autoFilter="0"/>
  <autoFilter ref="A6:L146" xr:uid="{00000000-0009-0000-0000-000000000000}"/>
  <mergeCells count="16">
    <mergeCell ref="A5:L5"/>
    <mergeCell ref="A147:D147"/>
    <mergeCell ref="I4:K4"/>
    <mergeCell ref="I3:K3"/>
    <mergeCell ref="C3:D3"/>
    <mergeCell ref="A3:B3"/>
    <mergeCell ref="G3:H3"/>
    <mergeCell ref="E3:F3"/>
    <mergeCell ref="C4:D4"/>
    <mergeCell ref="A4:B4"/>
    <mergeCell ref="G4:H4"/>
    <mergeCell ref="A2:L2"/>
    <mergeCell ref="E4:F4"/>
    <mergeCell ref="A1:L1"/>
    <mergeCell ref="L4"/>
    <mergeCell ref="L3"/>
  </mergeCells>
  <dataValidations count="9">
    <dataValidation type="whole" allowBlank="1" showInputMessage="1" promptTitle="Quantidade mínima: 4" prompt="A partir de 4 unidades vale QUALQUER quantidade (ex.: 5 pode). Digite o número direto." sqref="E7 E8 E9 E10 E11 E12 E13 E14 E15 E16 E17 E18 E19 E20 E21 E22 E23 E24 E25 E26 E27 E28 E29 E30 E31 E32 E33 E34 E35 E36 E37 E40 E41 E42 E43 E44 E45 E46 E47 E48 E49 E50 E51 E52 E53 E112" xr:uid="{00000000-0002-0000-0000-000000000000}">
      <formula1>0</formula1>
      <formula2>1000000</formula2>
    </dataValidation>
    <dataValidation type="whole" allowBlank="1" showInputMessage="1" promptTitle="Mínimo 4, em caixas de 2" prompt="A partir de 4 unidades, sempre em passos de 2 (4, 6, 8...). Digite o número direto." sqref="E38 E39" xr:uid="{00000000-0002-0000-0000-000001000000}">
      <formula1>0</formula1>
      <formula2>1000000</formula2>
    </dataValidation>
    <dataValidation type="whole" allowBlank="1" showInputMessage="1" promptTitle="Quantidade mínima: 6" prompt="A partir de 6 unidades vale QUALQUER quantidade (ex.: 7 pode). Digite o número direto." sqref="E54 E55" xr:uid="{00000000-0002-0000-0000-000002000000}">
      <formula1>0</formula1>
      <formula2>1000000</formula2>
    </dataValidation>
    <dataValidation type="whole" allowBlank="1" showInputMessage="1" promptTitle="Caixa fechada: múltiplos de 12" prompt="Este item sai em caixa fechada de 12 (ex.: 12, 24, 36...). Digite o número direto." sqref="E56 E57 E58 E59 E60 E61 E62 E63 E64 E65 E66 E67 E68 E69 E70 E71 E72 E73 E74 E75 E76 E77 E78 E79 E80 E87 E88 E89 E90 E91 E92 E93 E94 E95 E96 E97 E98 E99 E100 E102" xr:uid="{00000000-0002-0000-0000-000003000000}">
      <formula1>0</formula1>
      <formula2>1000000</formula2>
    </dataValidation>
    <dataValidation type="whole" allowBlank="1" showInputMessage="1" promptTitle="Caixa fechada: múltiplos de 24" prompt="Este item sai em caixa fechada de 24 (ex.: 24, 48, 72...). Digite o número direto." sqref="E81" xr:uid="{00000000-0002-0000-0000-000004000000}">
      <formula1>0</formula1>
      <formula2>1000000</formula2>
    </dataValidation>
    <dataValidation type="whole" allowBlank="1" showInputMessage="1" promptTitle="Caixa fechada: múltiplos de 6" prompt="Este item sai em caixa fechada de 6 (ex.: 6, 12, 18...). Digite o número direto." sqref="E82 E83 E84 E85 E86 E101 E140 E141 E142 E143 E144 E145" xr:uid="{00000000-0002-0000-0000-000005000000}">
      <formula1>0</formula1>
      <formula2>1000000</formula2>
    </dataValidation>
    <dataValidation type="whole" allowBlank="1" showInputMessage="1" promptTitle="Quantidade mínima: 12" prompt="A partir de 12 unidades vale QUALQUER quantidade (ex.: 13 pode). Digite o número direto." sqref="E103 E104 E105 E106" xr:uid="{00000000-0002-0000-0000-000006000000}">
      <formula1>0</formula1>
      <formula2>1000000</formula2>
    </dataValidation>
    <dataValidation type="whole" allowBlank="1" showInputMessage="1" promptTitle="Quantidade mínima: 2" prompt="A partir de 2 unidades vale QUALQUER quantidade (ex.: 3 pode). Digite o número direto." sqref="E107 E108 E109 E110 E111 E113 E114 E115 E116 E117 E118 E119 E120 E121 E122 E123 E124 E125 E126 E127 E128 E129 E130 E131 E132 E133 E134 E135 E136 E137 E138 E139" xr:uid="{00000000-0002-0000-0000-000007000000}">
      <formula1>0</formula1>
      <formula2>1000000</formula2>
    </dataValidation>
    <dataValidation type="whole" allowBlank="1" showInputMessage="1" promptTitle="Caixa fechada: múltiplos de 4" prompt="Este item sai em caixa fechada de 4 (ex.: 4, 8, 12...). Digite o número direto." sqref="E146" xr:uid="{00000000-0002-0000-0000-000008000000}">
      <formula1>0</formula1>
      <formula2>1000000</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3"/>
  <sheetViews>
    <sheetView showGridLines="0" workbookViewId="0">
      <pane ySplit="3" topLeftCell="A4" activePane="bottomLeft" state="frozen"/>
      <selection pane="bottomLeft"/>
    </sheetView>
  </sheetViews>
  <sheetFormatPr defaultRowHeight="15"/>
  <cols>
    <col min="1" max="1" width="16" customWidth="1"/>
    <col min="2" max="2" width="52" customWidth="1"/>
    <col min="3" max="3" width="14" customWidth="1"/>
    <col min="4" max="4" width="16" customWidth="1"/>
    <col min="5" max="5" width="14" customWidth="1"/>
    <col min="6" max="6" width="11" customWidth="1"/>
  </cols>
  <sheetData>
    <row r="1" spans="1:6" ht="27.95" customHeight="1">
      <c r="A1" s="48" t="s">
        <v>468</v>
      </c>
      <c r="B1" s="38"/>
      <c r="C1" s="38"/>
      <c r="D1" s="38"/>
      <c r="E1" s="38"/>
      <c r="F1" s="38"/>
    </row>
    <row r="2" spans="1:6">
      <c r="A2" s="44" t="s">
        <v>469</v>
      </c>
      <c r="B2" s="38"/>
      <c r="C2" s="38"/>
      <c r="D2" s="38"/>
      <c r="E2" s="38"/>
      <c r="F2" s="38"/>
    </row>
    <row r="3" spans="1:6">
      <c r="A3" s="27" t="s">
        <v>10</v>
      </c>
      <c r="B3" s="27" t="s">
        <v>12</v>
      </c>
      <c r="C3" s="27" t="s">
        <v>470</v>
      </c>
      <c r="D3" s="27" t="s">
        <v>471</v>
      </c>
      <c r="E3" s="27" t="s">
        <v>472</v>
      </c>
      <c r="F3" s="27" t="s">
        <v>473</v>
      </c>
    </row>
    <row r="4" spans="1:6">
      <c r="A4" s="4" t="s">
        <v>22</v>
      </c>
      <c r="B4" s="4" t="s">
        <v>24</v>
      </c>
      <c r="C4" s="9">
        <v>699</v>
      </c>
      <c r="D4" s="13">
        <v>1510.5</v>
      </c>
      <c r="E4" s="28">
        <v>1351.5</v>
      </c>
      <c r="F4" s="29">
        <v>1.1609</v>
      </c>
    </row>
    <row r="5" spans="1:6">
      <c r="A5" s="4" t="s">
        <v>25</v>
      </c>
      <c r="B5" s="4" t="s">
        <v>27</v>
      </c>
      <c r="C5" s="9">
        <v>940.5</v>
      </c>
      <c r="D5" s="13">
        <v>1795.5</v>
      </c>
      <c r="E5" s="28">
        <v>1606.5</v>
      </c>
      <c r="F5" s="29">
        <v>0.90910000000000002</v>
      </c>
    </row>
    <row r="6" spans="1:6">
      <c r="A6" s="4" t="s">
        <v>28</v>
      </c>
      <c r="B6" s="4" t="s">
        <v>30</v>
      </c>
      <c r="C6" s="9">
        <v>1251</v>
      </c>
      <c r="D6" s="13">
        <v>2460.5</v>
      </c>
      <c r="E6" s="28">
        <v>2201.5</v>
      </c>
      <c r="F6" s="29">
        <v>0.96679999999999999</v>
      </c>
    </row>
    <row r="7" spans="1:6">
      <c r="A7" s="4" t="s">
        <v>31</v>
      </c>
      <c r="B7" s="4" t="s">
        <v>33</v>
      </c>
      <c r="C7" s="9">
        <v>479.6</v>
      </c>
      <c r="D7" s="13">
        <v>1034.55</v>
      </c>
      <c r="E7" s="28">
        <v>925.65</v>
      </c>
      <c r="F7" s="29">
        <v>1.1571</v>
      </c>
    </row>
    <row r="8" spans="1:6">
      <c r="A8" s="4" t="s">
        <v>34</v>
      </c>
      <c r="B8" s="4" t="s">
        <v>36</v>
      </c>
      <c r="C8" s="9">
        <v>369.55</v>
      </c>
      <c r="D8" s="13">
        <v>806.55</v>
      </c>
      <c r="E8" s="28">
        <v>721.65</v>
      </c>
      <c r="F8" s="29">
        <v>1.1825000000000001</v>
      </c>
    </row>
    <row r="9" spans="1:6">
      <c r="A9" s="16" t="s">
        <v>37</v>
      </c>
      <c r="B9" s="16" t="s">
        <v>39</v>
      </c>
      <c r="C9" s="30">
        <v>319</v>
      </c>
      <c r="D9" s="22">
        <v>569.9</v>
      </c>
      <c r="E9" s="31">
        <v>509.91</v>
      </c>
      <c r="F9" s="32">
        <v>0.78649999999999998</v>
      </c>
    </row>
    <row r="10" spans="1:6">
      <c r="A10" s="4" t="s">
        <v>40</v>
      </c>
      <c r="B10" s="4" t="s">
        <v>42</v>
      </c>
      <c r="C10" s="9">
        <v>166.28</v>
      </c>
      <c r="D10" s="13">
        <v>370.4</v>
      </c>
      <c r="E10" s="28">
        <v>331.41</v>
      </c>
      <c r="F10" s="29">
        <v>1.2276</v>
      </c>
    </row>
    <row r="11" spans="1:6">
      <c r="A11" s="4" t="s">
        <v>43</v>
      </c>
      <c r="B11" s="4" t="s">
        <v>45</v>
      </c>
      <c r="C11" s="9">
        <v>448.11</v>
      </c>
      <c r="D11" s="13">
        <v>947.15</v>
      </c>
      <c r="E11" s="28">
        <v>847.45</v>
      </c>
      <c r="F11" s="29">
        <v>1.1136999999999999</v>
      </c>
    </row>
    <row r="12" spans="1:6">
      <c r="A12" s="16" t="s">
        <v>46</v>
      </c>
      <c r="B12" s="16" t="s">
        <v>48</v>
      </c>
      <c r="C12" s="30">
        <v>169.9</v>
      </c>
      <c r="D12" s="22">
        <v>312.55</v>
      </c>
      <c r="E12" s="31">
        <v>279.64999999999998</v>
      </c>
      <c r="F12" s="32">
        <v>0.83960000000000001</v>
      </c>
    </row>
    <row r="13" spans="1:6">
      <c r="A13" s="16" t="s">
        <v>49</v>
      </c>
      <c r="B13" s="16" t="s">
        <v>51</v>
      </c>
      <c r="C13" s="30">
        <v>169.9</v>
      </c>
      <c r="D13" s="22">
        <v>312.55</v>
      </c>
      <c r="E13" s="31">
        <v>279.64999999999998</v>
      </c>
      <c r="F13" s="32">
        <v>0.83960000000000001</v>
      </c>
    </row>
    <row r="14" spans="1:6">
      <c r="A14" s="16" t="s">
        <v>53</v>
      </c>
      <c r="B14" s="16" t="s">
        <v>55</v>
      </c>
      <c r="C14" s="30">
        <v>589</v>
      </c>
      <c r="D14" s="22">
        <v>1415.5</v>
      </c>
      <c r="E14" s="31">
        <v>1266.5</v>
      </c>
      <c r="F14" s="32">
        <v>1.4032</v>
      </c>
    </row>
    <row r="15" spans="1:6">
      <c r="A15" s="16" t="s">
        <v>56</v>
      </c>
      <c r="B15" s="16" t="s">
        <v>58</v>
      </c>
      <c r="C15" s="30">
        <v>589</v>
      </c>
      <c r="D15" s="22">
        <v>1415.5</v>
      </c>
      <c r="E15" s="31">
        <v>1266.5</v>
      </c>
      <c r="F15" s="32">
        <v>1.4032</v>
      </c>
    </row>
    <row r="16" spans="1:6">
      <c r="A16" s="16" t="s">
        <v>60</v>
      </c>
      <c r="B16" s="16" t="s">
        <v>62</v>
      </c>
      <c r="C16" s="30">
        <v>177</v>
      </c>
      <c r="D16" s="22">
        <v>303.05</v>
      </c>
      <c r="E16" s="31">
        <v>271.14999999999998</v>
      </c>
      <c r="F16" s="32">
        <v>0.71209999999999996</v>
      </c>
    </row>
    <row r="17" spans="1:6">
      <c r="A17" s="16" t="s">
        <v>63</v>
      </c>
      <c r="B17" s="16" t="s">
        <v>65</v>
      </c>
      <c r="C17" s="30">
        <v>177</v>
      </c>
      <c r="D17" s="22">
        <v>303.05</v>
      </c>
      <c r="E17" s="31">
        <v>271.14999999999998</v>
      </c>
      <c r="F17" s="32">
        <v>0.71209999999999996</v>
      </c>
    </row>
    <row r="18" spans="1:6">
      <c r="A18" s="4" t="s">
        <v>66</v>
      </c>
      <c r="B18" s="4" t="s">
        <v>68</v>
      </c>
      <c r="C18" s="9">
        <v>99.9</v>
      </c>
      <c r="D18" s="13">
        <v>260.2</v>
      </c>
      <c r="E18" s="28">
        <v>232.81</v>
      </c>
      <c r="F18" s="29">
        <v>1.6046</v>
      </c>
    </row>
    <row r="19" spans="1:6">
      <c r="A19" s="16" t="s">
        <v>69</v>
      </c>
      <c r="B19" s="16" t="s">
        <v>71</v>
      </c>
      <c r="C19" s="30">
        <v>149.9</v>
      </c>
      <c r="D19" s="22">
        <v>277.3</v>
      </c>
      <c r="E19" s="31">
        <v>248.11</v>
      </c>
      <c r="F19" s="32">
        <v>0.84989999999999999</v>
      </c>
    </row>
    <row r="20" spans="1:6">
      <c r="A20" s="16" t="s">
        <v>72</v>
      </c>
      <c r="B20" s="16" t="s">
        <v>74</v>
      </c>
      <c r="C20" s="30">
        <v>192.9</v>
      </c>
      <c r="D20" s="22">
        <v>329.55</v>
      </c>
      <c r="E20" s="31">
        <v>294.86</v>
      </c>
      <c r="F20" s="32">
        <v>0.70840000000000003</v>
      </c>
    </row>
    <row r="21" spans="1:6">
      <c r="A21" s="4" t="s">
        <v>75</v>
      </c>
      <c r="B21" s="4" t="s">
        <v>77</v>
      </c>
      <c r="C21" s="9">
        <v>99.9</v>
      </c>
      <c r="D21" s="13">
        <v>298.2</v>
      </c>
      <c r="E21" s="28">
        <v>266.81</v>
      </c>
      <c r="F21" s="29">
        <v>1.9850000000000001</v>
      </c>
    </row>
    <row r="22" spans="1:6">
      <c r="A22" s="4" t="s">
        <v>78</v>
      </c>
      <c r="B22" s="4" t="s">
        <v>80</v>
      </c>
      <c r="C22" s="9">
        <v>99.9</v>
      </c>
      <c r="D22" s="13">
        <v>287.75</v>
      </c>
      <c r="E22" s="28">
        <v>257.45999999999998</v>
      </c>
      <c r="F22" s="29">
        <v>1.8804000000000001</v>
      </c>
    </row>
    <row r="23" spans="1:6">
      <c r="A23" s="4" t="s">
        <v>81</v>
      </c>
      <c r="B23" s="4" t="s">
        <v>83</v>
      </c>
      <c r="C23" s="9">
        <v>149.9</v>
      </c>
      <c r="D23" s="13">
        <v>355.2</v>
      </c>
      <c r="E23" s="28">
        <v>317.81</v>
      </c>
      <c r="F23" s="29">
        <v>1.3695999999999999</v>
      </c>
    </row>
    <row r="24" spans="1:6">
      <c r="A24" s="4" t="s">
        <v>84</v>
      </c>
      <c r="B24" s="4" t="s">
        <v>86</v>
      </c>
      <c r="C24" s="9">
        <v>99.9</v>
      </c>
      <c r="D24" s="13">
        <v>322.89999999999998</v>
      </c>
      <c r="E24" s="28">
        <v>288.91000000000003</v>
      </c>
      <c r="F24" s="29">
        <v>2.2322000000000002</v>
      </c>
    </row>
    <row r="25" spans="1:6">
      <c r="A25" s="16" t="s">
        <v>88</v>
      </c>
      <c r="B25" s="16" t="s">
        <v>90</v>
      </c>
      <c r="C25" s="30">
        <v>87.9</v>
      </c>
      <c r="D25" s="22">
        <v>170.05</v>
      </c>
      <c r="E25" s="31">
        <v>152.15</v>
      </c>
      <c r="F25" s="32">
        <v>0.93459999999999999</v>
      </c>
    </row>
    <row r="26" spans="1:6">
      <c r="A26" s="16" t="s">
        <v>91</v>
      </c>
      <c r="B26" s="16" t="s">
        <v>93</v>
      </c>
      <c r="C26" s="30">
        <v>87.9</v>
      </c>
      <c r="D26" s="22">
        <v>170.05</v>
      </c>
      <c r="E26" s="31">
        <v>152.15</v>
      </c>
      <c r="F26" s="32">
        <v>0.93459999999999999</v>
      </c>
    </row>
    <row r="27" spans="1:6">
      <c r="A27" s="16" t="s">
        <v>94</v>
      </c>
      <c r="B27" s="16" t="s">
        <v>96</v>
      </c>
      <c r="C27" s="30">
        <v>125</v>
      </c>
      <c r="D27" s="22">
        <v>213.75</v>
      </c>
      <c r="E27" s="31">
        <v>191.25</v>
      </c>
      <c r="F27" s="32">
        <v>0.71</v>
      </c>
    </row>
    <row r="28" spans="1:6">
      <c r="A28" s="16" t="s">
        <v>97</v>
      </c>
      <c r="B28" s="16" t="s">
        <v>99</v>
      </c>
      <c r="C28" s="30">
        <v>172</v>
      </c>
      <c r="D28" s="22">
        <v>293.55</v>
      </c>
      <c r="E28" s="31">
        <v>262.64999999999998</v>
      </c>
      <c r="F28" s="32">
        <v>0.70669999999999999</v>
      </c>
    </row>
    <row r="29" spans="1:6">
      <c r="A29" s="4" t="s">
        <v>100</v>
      </c>
      <c r="B29" s="4" t="s">
        <v>102</v>
      </c>
      <c r="C29" s="9">
        <v>160.30000000000001</v>
      </c>
      <c r="D29" s="13">
        <v>379.05</v>
      </c>
      <c r="E29" s="28">
        <v>339.15</v>
      </c>
      <c r="F29" s="29">
        <v>1.3646</v>
      </c>
    </row>
    <row r="30" spans="1:6">
      <c r="A30" s="16" t="s">
        <v>103</v>
      </c>
      <c r="B30" s="16" t="s">
        <v>105</v>
      </c>
      <c r="C30" s="30">
        <v>122</v>
      </c>
      <c r="D30" s="22">
        <v>217.55</v>
      </c>
      <c r="E30" s="31">
        <v>194.65</v>
      </c>
      <c r="F30" s="32">
        <v>0.78320000000000001</v>
      </c>
    </row>
    <row r="31" spans="1:6">
      <c r="A31" s="16" t="s">
        <v>106</v>
      </c>
      <c r="B31" s="16" t="s">
        <v>108</v>
      </c>
      <c r="C31" s="30">
        <v>167</v>
      </c>
      <c r="D31" s="22">
        <v>293.55</v>
      </c>
      <c r="E31" s="31">
        <v>262.64999999999998</v>
      </c>
      <c r="F31" s="32">
        <v>0.75780000000000003</v>
      </c>
    </row>
    <row r="32" spans="1:6">
      <c r="A32" s="16" t="s">
        <v>110</v>
      </c>
      <c r="B32" s="16" t="s">
        <v>112</v>
      </c>
      <c r="C32" s="30">
        <v>66.900000000000006</v>
      </c>
      <c r="D32" s="22">
        <v>116.85</v>
      </c>
      <c r="E32" s="31">
        <v>104.55</v>
      </c>
      <c r="F32" s="32">
        <v>0.74660000000000004</v>
      </c>
    </row>
    <row r="33" spans="1:6">
      <c r="A33" s="16" t="s">
        <v>113</v>
      </c>
      <c r="B33" s="16" t="s">
        <v>115</v>
      </c>
      <c r="C33" s="30">
        <v>79.900000000000006</v>
      </c>
      <c r="D33" s="22">
        <v>141.55000000000001</v>
      </c>
      <c r="E33" s="31">
        <v>126.65</v>
      </c>
      <c r="F33" s="32">
        <v>0.77159999999999995</v>
      </c>
    </row>
    <row r="34" spans="1:6">
      <c r="A34" s="16" t="s">
        <v>116</v>
      </c>
      <c r="B34" s="16" t="s">
        <v>118</v>
      </c>
      <c r="C34" s="30">
        <v>72.900000000000006</v>
      </c>
      <c r="D34" s="22">
        <v>132.05000000000001</v>
      </c>
      <c r="E34" s="31">
        <v>118.15</v>
      </c>
      <c r="F34" s="32">
        <v>0.81140000000000001</v>
      </c>
    </row>
    <row r="35" spans="1:6">
      <c r="A35" s="16" t="s">
        <v>120</v>
      </c>
      <c r="B35" s="16" t="s">
        <v>122</v>
      </c>
      <c r="C35" s="30">
        <v>29.9</v>
      </c>
      <c r="D35" s="22">
        <v>56.9</v>
      </c>
      <c r="E35" s="31">
        <v>50.91</v>
      </c>
      <c r="F35" s="32">
        <v>0.90300000000000002</v>
      </c>
    </row>
    <row r="36" spans="1:6">
      <c r="A36" s="16" t="s">
        <v>123</v>
      </c>
      <c r="B36" s="16" t="s">
        <v>125</v>
      </c>
      <c r="C36" s="30">
        <v>29.9</v>
      </c>
      <c r="D36" s="22">
        <v>56.9</v>
      </c>
      <c r="E36" s="31">
        <v>50.91</v>
      </c>
      <c r="F36" s="32">
        <v>0.90300000000000002</v>
      </c>
    </row>
    <row r="37" spans="1:6">
      <c r="A37" s="16" t="s">
        <v>127</v>
      </c>
      <c r="B37" s="16" t="s">
        <v>129</v>
      </c>
      <c r="C37" s="30">
        <v>169.31</v>
      </c>
      <c r="D37" s="22">
        <v>274.55</v>
      </c>
      <c r="E37" s="31">
        <v>245.65</v>
      </c>
      <c r="F37" s="32">
        <v>0.62160000000000004</v>
      </c>
    </row>
    <row r="38" spans="1:6">
      <c r="A38" s="16" t="s">
        <v>130</v>
      </c>
      <c r="B38" s="16" t="s">
        <v>132</v>
      </c>
      <c r="C38" s="30">
        <v>147</v>
      </c>
      <c r="D38" s="22">
        <v>274.55</v>
      </c>
      <c r="E38" s="31">
        <v>245.65</v>
      </c>
      <c r="F38" s="32">
        <v>0.86770000000000003</v>
      </c>
    </row>
    <row r="39" spans="1:6">
      <c r="A39" s="16" t="s">
        <v>133</v>
      </c>
      <c r="B39" s="16" t="s">
        <v>135</v>
      </c>
      <c r="C39" s="30">
        <v>164.7</v>
      </c>
      <c r="D39" s="22">
        <v>274.55</v>
      </c>
      <c r="E39" s="31">
        <v>245.65</v>
      </c>
      <c r="F39" s="32">
        <v>0.66700000000000004</v>
      </c>
    </row>
    <row r="40" spans="1:6">
      <c r="A40" s="16" t="s">
        <v>136</v>
      </c>
      <c r="B40" s="16" t="s">
        <v>138</v>
      </c>
      <c r="C40" s="30">
        <v>147</v>
      </c>
      <c r="D40" s="22">
        <v>274.55</v>
      </c>
      <c r="E40" s="31">
        <v>245.65</v>
      </c>
      <c r="F40" s="32">
        <v>0.86770000000000003</v>
      </c>
    </row>
    <row r="41" spans="1:6">
      <c r="A41" s="16" t="s">
        <v>139</v>
      </c>
      <c r="B41" s="16" t="s">
        <v>141</v>
      </c>
      <c r="C41" s="30">
        <v>159.9</v>
      </c>
      <c r="D41" s="22">
        <v>293.55</v>
      </c>
      <c r="E41" s="31">
        <v>262.64999999999998</v>
      </c>
      <c r="F41" s="32">
        <v>0.83579999999999999</v>
      </c>
    </row>
    <row r="42" spans="1:6">
      <c r="A42" s="16" t="s">
        <v>142</v>
      </c>
      <c r="B42" s="16" t="s">
        <v>144</v>
      </c>
      <c r="C42" s="30">
        <v>166.24</v>
      </c>
      <c r="D42" s="22">
        <v>274.55</v>
      </c>
      <c r="E42" s="31">
        <v>245.65</v>
      </c>
      <c r="F42" s="32">
        <v>0.65149999999999997</v>
      </c>
    </row>
    <row r="43" spans="1:6">
      <c r="A43" s="16" t="s">
        <v>145</v>
      </c>
      <c r="B43" s="16" t="s">
        <v>147</v>
      </c>
      <c r="C43" s="30">
        <v>232</v>
      </c>
      <c r="D43" s="22">
        <v>407.55</v>
      </c>
      <c r="E43" s="31">
        <v>364.65</v>
      </c>
      <c r="F43" s="32">
        <v>0.75670000000000004</v>
      </c>
    </row>
    <row r="44" spans="1:6">
      <c r="A44" s="16" t="s">
        <v>148</v>
      </c>
      <c r="B44" s="16" t="s">
        <v>150</v>
      </c>
      <c r="C44" s="30">
        <v>179</v>
      </c>
      <c r="D44" s="22">
        <v>322.05</v>
      </c>
      <c r="E44" s="31">
        <v>288.14999999999998</v>
      </c>
      <c r="F44" s="32">
        <v>0.79920000000000002</v>
      </c>
    </row>
    <row r="45" spans="1:6">
      <c r="A45" s="4" t="s">
        <v>152</v>
      </c>
      <c r="B45" s="4" t="s">
        <v>154</v>
      </c>
      <c r="C45" s="9">
        <v>117.04</v>
      </c>
      <c r="D45" s="13">
        <v>236.55</v>
      </c>
      <c r="E45" s="28">
        <v>211.65</v>
      </c>
      <c r="F45" s="29">
        <v>1.0210999999999999</v>
      </c>
    </row>
    <row r="46" spans="1:6">
      <c r="A46" s="4" t="s">
        <v>155</v>
      </c>
      <c r="B46" s="4" t="s">
        <v>157</v>
      </c>
      <c r="C46" s="9">
        <v>117.04</v>
      </c>
      <c r="D46" s="13">
        <v>236.55</v>
      </c>
      <c r="E46" s="28">
        <v>211.65</v>
      </c>
      <c r="F46" s="29">
        <v>1.0210999999999999</v>
      </c>
    </row>
    <row r="47" spans="1:6">
      <c r="A47" s="4" t="s">
        <v>158</v>
      </c>
      <c r="B47" s="4" t="s">
        <v>160</v>
      </c>
      <c r="C47" s="9">
        <v>131.12</v>
      </c>
      <c r="D47" s="13">
        <v>255.55</v>
      </c>
      <c r="E47" s="28">
        <v>228.65</v>
      </c>
      <c r="F47" s="29">
        <v>0.94899999999999995</v>
      </c>
    </row>
    <row r="48" spans="1:6">
      <c r="A48" s="4" t="s">
        <v>161</v>
      </c>
      <c r="B48" s="4" t="s">
        <v>163</v>
      </c>
      <c r="C48" s="9">
        <v>189.2</v>
      </c>
      <c r="D48" s="13">
        <v>369.55</v>
      </c>
      <c r="E48" s="28">
        <v>330.65</v>
      </c>
      <c r="F48" s="29">
        <v>0.95320000000000005</v>
      </c>
    </row>
    <row r="49" spans="1:6">
      <c r="A49" s="4" t="s">
        <v>164</v>
      </c>
      <c r="B49" s="4" t="s">
        <v>166</v>
      </c>
      <c r="C49" s="9">
        <v>150.47999999999999</v>
      </c>
      <c r="D49" s="13">
        <v>312.55</v>
      </c>
      <c r="E49" s="28">
        <v>279.64999999999998</v>
      </c>
      <c r="F49" s="29">
        <v>1.077</v>
      </c>
    </row>
    <row r="50" spans="1:6">
      <c r="A50" s="4" t="s">
        <v>167</v>
      </c>
      <c r="B50" s="4" t="s">
        <v>169</v>
      </c>
      <c r="C50" s="9">
        <v>144.32</v>
      </c>
      <c r="D50" s="13">
        <v>293.55</v>
      </c>
      <c r="E50" s="28">
        <v>262.64999999999998</v>
      </c>
      <c r="F50" s="29">
        <v>1.034</v>
      </c>
    </row>
    <row r="51" spans="1:6">
      <c r="A51" s="4" t="s">
        <v>171</v>
      </c>
      <c r="B51" s="4" t="s">
        <v>173</v>
      </c>
      <c r="C51" s="9">
        <v>186.1</v>
      </c>
      <c r="D51" s="13">
        <v>313.39999999999998</v>
      </c>
      <c r="E51" s="28">
        <v>280.41000000000003</v>
      </c>
      <c r="F51" s="29">
        <v>0.68400000000000005</v>
      </c>
    </row>
    <row r="52" spans="1:6">
      <c r="A52" s="4" t="s">
        <v>174</v>
      </c>
      <c r="B52" s="4" t="s">
        <v>176</v>
      </c>
      <c r="C52" s="9">
        <v>187.72</v>
      </c>
      <c r="D52" s="13">
        <v>332.4</v>
      </c>
      <c r="E52" s="28">
        <v>297.41000000000003</v>
      </c>
      <c r="F52" s="29">
        <v>0.77070000000000005</v>
      </c>
    </row>
    <row r="53" spans="1:6">
      <c r="A53" s="4" t="s">
        <v>178</v>
      </c>
      <c r="B53" s="4" t="s">
        <v>180</v>
      </c>
      <c r="C53" s="9">
        <v>38.9</v>
      </c>
      <c r="D53" s="13">
        <v>151.05000000000001</v>
      </c>
      <c r="E53" s="28">
        <v>135.15</v>
      </c>
      <c r="F53" s="29">
        <v>2.883</v>
      </c>
    </row>
    <row r="54" spans="1:6">
      <c r="A54" s="16" t="s">
        <v>181</v>
      </c>
      <c r="B54" s="16" t="s">
        <v>183</v>
      </c>
      <c r="C54" s="30">
        <v>42.58</v>
      </c>
      <c r="D54" s="22">
        <v>122.55</v>
      </c>
      <c r="E54" s="31">
        <v>109.65</v>
      </c>
      <c r="F54" s="32">
        <v>1.8781000000000001</v>
      </c>
    </row>
    <row r="55" spans="1:6">
      <c r="A55" s="16" t="s">
        <v>184</v>
      </c>
      <c r="B55" s="16" t="s">
        <v>186</v>
      </c>
      <c r="C55" s="30">
        <v>42.58</v>
      </c>
      <c r="D55" s="22">
        <v>83.5</v>
      </c>
      <c r="E55" s="31">
        <v>74.72</v>
      </c>
      <c r="F55" s="32">
        <v>0.96099999999999997</v>
      </c>
    </row>
    <row r="56" spans="1:6">
      <c r="A56" s="4" t="s">
        <v>187</v>
      </c>
      <c r="B56" s="4" t="s">
        <v>189</v>
      </c>
      <c r="C56" s="9">
        <v>37.9</v>
      </c>
      <c r="D56" s="13">
        <v>93</v>
      </c>
      <c r="E56" s="28">
        <v>83.22</v>
      </c>
      <c r="F56" s="29">
        <v>1.4538</v>
      </c>
    </row>
    <row r="57" spans="1:6">
      <c r="A57" s="16" t="s">
        <v>190</v>
      </c>
      <c r="B57" s="16" t="s">
        <v>192</v>
      </c>
      <c r="C57" s="30">
        <v>18</v>
      </c>
      <c r="D57" s="22">
        <v>56.05</v>
      </c>
      <c r="E57" s="31">
        <v>50.15</v>
      </c>
      <c r="F57" s="32">
        <v>2.1139000000000001</v>
      </c>
    </row>
    <row r="58" spans="1:6">
      <c r="A58" s="16" t="s">
        <v>194</v>
      </c>
      <c r="B58" s="16" t="s">
        <v>196</v>
      </c>
      <c r="C58" s="30">
        <v>53.9</v>
      </c>
      <c r="D58" s="22">
        <v>103.55</v>
      </c>
      <c r="E58" s="31">
        <v>92.65</v>
      </c>
      <c r="F58" s="32">
        <v>0.92120000000000002</v>
      </c>
    </row>
    <row r="59" spans="1:6">
      <c r="A59" s="16" t="s">
        <v>197</v>
      </c>
      <c r="B59" s="16" t="s">
        <v>199</v>
      </c>
      <c r="C59" s="30">
        <v>47.9</v>
      </c>
      <c r="D59" s="22">
        <v>80.66</v>
      </c>
      <c r="E59" s="31">
        <v>72.17</v>
      </c>
      <c r="F59" s="32">
        <v>0.68389999999999995</v>
      </c>
    </row>
    <row r="60" spans="1:6">
      <c r="A60" s="16" t="s">
        <v>200</v>
      </c>
      <c r="B60" s="16" t="s">
        <v>202</v>
      </c>
      <c r="C60" s="30">
        <v>47.9</v>
      </c>
      <c r="D60" s="22">
        <v>88.25</v>
      </c>
      <c r="E60" s="31">
        <v>78.97</v>
      </c>
      <c r="F60" s="32">
        <v>0.84240000000000004</v>
      </c>
    </row>
    <row r="61" spans="1:6">
      <c r="A61" s="4" t="s">
        <v>203</v>
      </c>
      <c r="B61" s="4" t="s">
        <v>205</v>
      </c>
      <c r="C61" s="9">
        <v>29.9</v>
      </c>
      <c r="D61" s="13">
        <v>75.91</v>
      </c>
      <c r="E61" s="28">
        <v>67.92</v>
      </c>
      <c r="F61" s="29">
        <v>1.5387999999999999</v>
      </c>
    </row>
    <row r="62" spans="1:6">
      <c r="A62" s="4" t="s">
        <v>206</v>
      </c>
      <c r="B62" s="4" t="s">
        <v>208</v>
      </c>
      <c r="C62" s="9">
        <v>38.479999999999997</v>
      </c>
      <c r="D62" s="13">
        <v>74.95</v>
      </c>
      <c r="E62" s="28">
        <v>67.06</v>
      </c>
      <c r="F62" s="29">
        <v>0.94779999999999998</v>
      </c>
    </row>
    <row r="63" spans="1:6">
      <c r="A63" s="4" t="s">
        <v>209</v>
      </c>
      <c r="B63" s="4" t="s">
        <v>211</v>
      </c>
      <c r="C63" s="9">
        <v>30.9</v>
      </c>
      <c r="D63" s="13">
        <v>72.11</v>
      </c>
      <c r="E63" s="28">
        <v>64.52</v>
      </c>
      <c r="F63" s="29">
        <v>1.3337000000000001</v>
      </c>
    </row>
    <row r="64" spans="1:6">
      <c r="A64" s="16" t="s">
        <v>212</v>
      </c>
      <c r="B64" s="16" t="s">
        <v>214</v>
      </c>
      <c r="C64" s="30">
        <v>40.9</v>
      </c>
      <c r="D64" s="22">
        <v>75.91</v>
      </c>
      <c r="E64" s="31">
        <v>67.92</v>
      </c>
      <c r="F64" s="32">
        <v>0.85599999999999998</v>
      </c>
    </row>
    <row r="65" spans="1:6">
      <c r="A65" s="16" t="s">
        <v>215</v>
      </c>
      <c r="B65" s="16" t="s">
        <v>217</v>
      </c>
      <c r="C65" s="30">
        <v>37.299999999999997</v>
      </c>
      <c r="D65" s="22">
        <v>72.11</v>
      </c>
      <c r="E65" s="31">
        <v>64.52</v>
      </c>
      <c r="F65" s="32">
        <v>0.93320000000000003</v>
      </c>
    </row>
    <row r="66" spans="1:6">
      <c r="A66" s="16" t="s">
        <v>218</v>
      </c>
      <c r="B66" s="16" t="s">
        <v>220</v>
      </c>
      <c r="C66" s="30">
        <v>43.9</v>
      </c>
      <c r="D66" s="22">
        <v>80.66</v>
      </c>
      <c r="E66" s="31">
        <v>72.17</v>
      </c>
      <c r="F66" s="32">
        <v>0.83740000000000003</v>
      </c>
    </row>
    <row r="67" spans="1:6">
      <c r="A67" s="16" t="s">
        <v>221</v>
      </c>
      <c r="B67" s="16" t="s">
        <v>223</v>
      </c>
      <c r="C67" s="30">
        <v>39.9</v>
      </c>
      <c r="D67" s="22">
        <v>74.95</v>
      </c>
      <c r="E67" s="31">
        <v>67.06</v>
      </c>
      <c r="F67" s="32">
        <v>0.87839999999999996</v>
      </c>
    </row>
    <row r="68" spans="1:6">
      <c r="A68" s="4" t="s">
        <v>224</v>
      </c>
      <c r="B68" s="4" t="s">
        <v>226</v>
      </c>
      <c r="C68" s="9">
        <v>34.9</v>
      </c>
      <c r="D68" s="13">
        <v>78.75</v>
      </c>
      <c r="E68" s="28">
        <v>70.47</v>
      </c>
      <c r="F68" s="29">
        <v>1.2564</v>
      </c>
    </row>
    <row r="69" spans="1:6">
      <c r="A69" s="16" t="s">
        <v>227</v>
      </c>
      <c r="B69" s="16" t="s">
        <v>229</v>
      </c>
      <c r="C69" s="30">
        <v>45.9</v>
      </c>
      <c r="D69" s="22">
        <v>85.41</v>
      </c>
      <c r="E69" s="31">
        <v>76.42</v>
      </c>
      <c r="F69" s="32">
        <v>0.86080000000000001</v>
      </c>
    </row>
    <row r="70" spans="1:6">
      <c r="A70" s="16" t="s">
        <v>230</v>
      </c>
      <c r="B70" s="16" t="s">
        <v>231</v>
      </c>
      <c r="C70" s="30">
        <v>33.86</v>
      </c>
      <c r="D70" s="22">
        <v>71.16</v>
      </c>
      <c r="E70" s="31">
        <v>63.67</v>
      </c>
      <c r="F70" s="32">
        <v>1.1015999999999999</v>
      </c>
    </row>
    <row r="71" spans="1:6">
      <c r="A71" s="16" t="s">
        <v>233</v>
      </c>
      <c r="B71" s="16" t="s">
        <v>235</v>
      </c>
      <c r="C71" s="30">
        <v>54.48</v>
      </c>
      <c r="D71" s="22">
        <v>94.91</v>
      </c>
      <c r="E71" s="31">
        <v>84.92</v>
      </c>
      <c r="F71" s="32">
        <v>0.74209999999999998</v>
      </c>
    </row>
    <row r="72" spans="1:6">
      <c r="A72" s="4" t="s">
        <v>236</v>
      </c>
      <c r="B72" s="4" t="s">
        <v>238</v>
      </c>
      <c r="C72" s="9">
        <v>47.48</v>
      </c>
      <c r="D72" s="13">
        <v>104.41</v>
      </c>
      <c r="E72" s="28">
        <v>93.42</v>
      </c>
      <c r="F72" s="29">
        <v>1.1990000000000001</v>
      </c>
    </row>
    <row r="73" spans="1:6">
      <c r="A73" s="4" t="s">
        <v>239</v>
      </c>
      <c r="B73" s="4" t="s">
        <v>241</v>
      </c>
      <c r="C73" s="9">
        <v>42.9</v>
      </c>
      <c r="D73" s="13">
        <v>123.41</v>
      </c>
      <c r="E73" s="28">
        <v>110.42</v>
      </c>
      <c r="F73" s="29">
        <v>1.8767</v>
      </c>
    </row>
    <row r="74" spans="1:6">
      <c r="A74" s="4" t="s">
        <v>242</v>
      </c>
      <c r="B74" s="4" t="s">
        <v>243</v>
      </c>
      <c r="C74" s="9">
        <v>31.9</v>
      </c>
      <c r="D74" s="13">
        <v>64.5</v>
      </c>
      <c r="E74" s="28">
        <v>57.72</v>
      </c>
      <c r="F74" s="29">
        <v>1.0219</v>
      </c>
    </row>
    <row r="75" spans="1:6">
      <c r="A75" s="4" t="s">
        <v>244</v>
      </c>
      <c r="B75" s="4" t="s">
        <v>246</v>
      </c>
      <c r="C75" s="9">
        <v>37.9</v>
      </c>
      <c r="D75" s="13">
        <v>81.61</v>
      </c>
      <c r="E75" s="28">
        <v>73.02</v>
      </c>
      <c r="F75" s="29">
        <v>1.1533</v>
      </c>
    </row>
    <row r="76" spans="1:6">
      <c r="A76" s="4" t="s">
        <v>247</v>
      </c>
      <c r="B76" s="4" t="s">
        <v>249</v>
      </c>
      <c r="C76" s="9">
        <v>9.9</v>
      </c>
      <c r="D76" s="13">
        <v>53.87</v>
      </c>
      <c r="E76" s="28">
        <v>48.2</v>
      </c>
      <c r="F76" s="29">
        <v>4.4413999999999998</v>
      </c>
    </row>
    <row r="77" spans="1:6">
      <c r="A77" s="4" t="s">
        <v>250</v>
      </c>
      <c r="B77" s="4" t="s">
        <v>252</v>
      </c>
      <c r="C77" s="9">
        <v>14.9</v>
      </c>
      <c r="D77" s="13">
        <v>34.1</v>
      </c>
      <c r="E77" s="28">
        <v>30.51</v>
      </c>
      <c r="F77" s="29">
        <v>1.2886</v>
      </c>
    </row>
    <row r="78" spans="1:6">
      <c r="A78" s="4" t="s">
        <v>253</v>
      </c>
      <c r="B78" s="4" t="s">
        <v>255</v>
      </c>
      <c r="C78" s="9">
        <v>9.9</v>
      </c>
      <c r="D78" s="13">
        <v>28.4</v>
      </c>
      <c r="E78" s="28">
        <v>25.41</v>
      </c>
      <c r="F78" s="29">
        <v>1.8687</v>
      </c>
    </row>
    <row r="79" spans="1:6">
      <c r="A79" s="4" t="s">
        <v>257</v>
      </c>
      <c r="B79" s="4" t="s">
        <v>259</v>
      </c>
      <c r="C79" s="9">
        <v>29.9</v>
      </c>
      <c r="D79" s="13">
        <v>85.41</v>
      </c>
      <c r="E79" s="28">
        <v>76.42</v>
      </c>
      <c r="F79" s="29">
        <v>1.8565</v>
      </c>
    </row>
    <row r="80" spans="1:6">
      <c r="A80" s="4" t="s">
        <v>260</v>
      </c>
      <c r="B80" s="4" t="s">
        <v>262</v>
      </c>
      <c r="C80" s="9">
        <v>53.9</v>
      </c>
      <c r="D80" s="13">
        <v>158.65</v>
      </c>
      <c r="E80" s="28">
        <v>141.94999999999999</v>
      </c>
      <c r="F80" s="29">
        <v>1.9434</v>
      </c>
    </row>
    <row r="81" spans="1:6">
      <c r="A81" s="4" t="s">
        <v>263</v>
      </c>
      <c r="B81" s="4" t="s">
        <v>265</v>
      </c>
      <c r="C81" s="9">
        <v>29.9</v>
      </c>
      <c r="D81" s="13">
        <v>94.91</v>
      </c>
      <c r="E81" s="28">
        <v>84.92</v>
      </c>
      <c r="F81" s="29">
        <v>2.1741999999999999</v>
      </c>
    </row>
    <row r="82" spans="1:6">
      <c r="A82" s="4" t="s">
        <v>266</v>
      </c>
      <c r="B82" s="4" t="s">
        <v>268</v>
      </c>
      <c r="C82" s="9">
        <v>36.9</v>
      </c>
      <c r="D82" s="13">
        <v>168.15</v>
      </c>
      <c r="E82" s="28">
        <v>150.44999999999999</v>
      </c>
      <c r="F82" s="29">
        <v>3.5569000000000002</v>
      </c>
    </row>
    <row r="83" spans="1:6">
      <c r="A83" s="4" t="s">
        <v>269</v>
      </c>
      <c r="B83" s="4" t="s">
        <v>271</v>
      </c>
      <c r="C83" s="9">
        <v>69.900000000000006</v>
      </c>
      <c r="D83" s="13">
        <v>188</v>
      </c>
      <c r="E83" s="28">
        <v>168.22</v>
      </c>
      <c r="F83" s="29">
        <v>1.6896</v>
      </c>
    </row>
    <row r="84" spans="1:6">
      <c r="A84" s="4" t="s">
        <v>273</v>
      </c>
      <c r="B84" s="4" t="s">
        <v>274</v>
      </c>
      <c r="C84" s="9">
        <v>32.9</v>
      </c>
      <c r="D84" s="13">
        <v>80.66</v>
      </c>
      <c r="E84" s="28">
        <v>72.17</v>
      </c>
      <c r="F84" s="29">
        <v>1.4517</v>
      </c>
    </row>
    <row r="85" spans="1:6">
      <c r="A85" s="4" t="s">
        <v>275</v>
      </c>
      <c r="B85" s="4" t="s">
        <v>277</v>
      </c>
      <c r="C85" s="9">
        <v>39.9</v>
      </c>
      <c r="D85" s="13">
        <v>80.66</v>
      </c>
      <c r="E85" s="28">
        <v>72.17</v>
      </c>
      <c r="F85" s="29">
        <v>1.0216000000000001</v>
      </c>
    </row>
    <row r="86" spans="1:6">
      <c r="A86" s="4" t="s">
        <v>278</v>
      </c>
      <c r="B86" s="4" t="s">
        <v>280</v>
      </c>
      <c r="C86" s="9">
        <v>44.9</v>
      </c>
      <c r="D86" s="13">
        <v>90.16</v>
      </c>
      <c r="E86" s="28">
        <v>80.67</v>
      </c>
      <c r="F86" s="29">
        <v>1.008</v>
      </c>
    </row>
    <row r="87" spans="1:6">
      <c r="A87" s="4" t="s">
        <v>281</v>
      </c>
      <c r="B87" s="4" t="s">
        <v>283</v>
      </c>
      <c r="C87" s="9">
        <v>26.9</v>
      </c>
      <c r="D87" s="13">
        <v>85.41</v>
      </c>
      <c r="E87" s="28">
        <v>76.42</v>
      </c>
      <c r="F87" s="29">
        <v>2.1751</v>
      </c>
    </row>
    <row r="88" spans="1:6">
      <c r="A88" s="4" t="s">
        <v>284</v>
      </c>
      <c r="B88" s="4" t="s">
        <v>286</v>
      </c>
      <c r="C88" s="9">
        <v>28.9</v>
      </c>
      <c r="D88" s="13">
        <v>90.16</v>
      </c>
      <c r="E88" s="28">
        <v>80.67</v>
      </c>
      <c r="F88" s="29">
        <v>2.1196999999999999</v>
      </c>
    </row>
    <row r="89" spans="1:6">
      <c r="A89" s="4" t="s">
        <v>287</v>
      </c>
      <c r="B89" s="4" t="s">
        <v>289</v>
      </c>
      <c r="C89" s="9">
        <v>42.77</v>
      </c>
      <c r="D89" s="13">
        <v>92.06</v>
      </c>
      <c r="E89" s="28">
        <v>82.37</v>
      </c>
      <c r="F89" s="29">
        <v>1.1524000000000001</v>
      </c>
    </row>
    <row r="90" spans="1:6">
      <c r="A90" s="4" t="s">
        <v>290</v>
      </c>
      <c r="B90" s="4" t="s">
        <v>292</v>
      </c>
      <c r="C90" s="9">
        <v>44.71</v>
      </c>
      <c r="D90" s="13">
        <v>94.91</v>
      </c>
      <c r="E90" s="28">
        <v>84.92</v>
      </c>
      <c r="F90" s="29">
        <v>1.1228</v>
      </c>
    </row>
    <row r="91" spans="1:6">
      <c r="A91" s="4" t="s">
        <v>293</v>
      </c>
      <c r="B91" s="4" t="s">
        <v>295</v>
      </c>
      <c r="C91" s="9">
        <v>44.91</v>
      </c>
      <c r="D91" s="13">
        <v>93.95</v>
      </c>
      <c r="E91" s="28">
        <v>84.06</v>
      </c>
      <c r="F91" s="29">
        <v>1.0920000000000001</v>
      </c>
    </row>
    <row r="92" spans="1:6">
      <c r="A92" s="4" t="s">
        <v>296</v>
      </c>
      <c r="B92" s="4" t="s">
        <v>298</v>
      </c>
      <c r="C92" s="9">
        <v>29.99</v>
      </c>
      <c r="D92" s="13">
        <v>149.06</v>
      </c>
      <c r="E92" s="28">
        <v>133.37</v>
      </c>
      <c r="F92" s="29">
        <v>3.9702999999999999</v>
      </c>
    </row>
    <row r="93" spans="1:6">
      <c r="A93" s="4" t="s">
        <v>299</v>
      </c>
      <c r="B93" s="4" t="s">
        <v>301</v>
      </c>
      <c r="C93" s="9">
        <v>29.99</v>
      </c>
      <c r="D93" s="13">
        <v>164.25</v>
      </c>
      <c r="E93" s="28">
        <v>146.97</v>
      </c>
      <c r="F93" s="29">
        <v>4.4767999999999999</v>
      </c>
    </row>
    <row r="94" spans="1:6">
      <c r="A94" s="4" t="s">
        <v>303</v>
      </c>
      <c r="B94" s="4" t="s">
        <v>305</v>
      </c>
      <c r="C94" s="9">
        <v>39.9</v>
      </c>
      <c r="D94" s="13">
        <v>85.41</v>
      </c>
      <c r="E94" s="28">
        <v>76.42</v>
      </c>
      <c r="F94" s="29">
        <v>1.1406000000000001</v>
      </c>
    </row>
    <row r="95" spans="1:6">
      <c r="A95" s="4" t="s">
        <v>306</v>
      </c>
      <c r="B95" s="4" t="s">
        <v>308</v>
      </c>
      <c r="C95" s="9">
        <v>34.9</v>
      </c>
      <c r="D95" s="13">
        <v>74.95</v>
      </c>
      <c r="E95" s="28">
        <v>67.06</v>
      </c>
      <c r="F95" s="29">
        <v>1.1476</v>
      </c>
    </row>
    <row r="96" spans="1:6">
      <c r="A96" s="4" t="s">
        <v>309</v>
      </c>
      <c r="B96" s="4" t="s">
        <v>311</v>
      </c>
      <c r="C96" s="9">
        <v>24.9</v>
      </c>
      <c r="D96" s="13">
        <v>60.7</v>
      </c>
      <c r="E96" s="28">
        <v>54.31</v>
      </c>
      <c r="F96" s="29">
        <v>1.4378</v>
      </c>
    </row>
    <row r="97" spans="1:6">
      <c r="A97" s="16" t="s">
        <v>313</v>
      </c>
      <c r="B97" s="16" t="s">
        <v>315</v>
      </c>
      <c r="C97" s="30">
        <v>38.9</v>
      </c>
      <c r="D97" s="22">
        <v>103.55</v>
      </c>
      <c r="E97" s="31">
        <v>92.65</v>
      </c>
      <c r="F97" s="32">
        <v>1.6619999999999999</v>
      </c>
    </row>
    <row r="98" spans="1:6">
      <c r="A98" s="4" t="s">
        <v>316</v>
      </c>
      <c r="B98" s="4" t="s">
        <v>318</v>
      </c>
      <c r="C98" s="9">
        <v>17.899999999999999</v>
      </c>
      <c r="D98" s="13">
        <v>75.91</v>
      </c>
      <c r="E98" s="28">
        <v>67.92</v>
      </c>
      <c r="F98" s="29">
        <v>3.2408000000000001</v>
      </c>
    </row>
    <row r="99" spans="1:6">
      <c r="A99" s="4" t="s">
        <v>319</v>
      </c>
      <c r="B99" s="4" t="s">
        <v>321</v>
      </c>
      <c r="C99" s="9">
        <v>19.91</v>
      </c>
      <c r="D99" s="13">
        <v>47.4</v>
      </c>
      <c r="E99" s="28">
        <v>42.41</v>
      </c>
      <c r="F99" s="29">
        <v>1.3807</v>
      </c>
    </row>
    <row r="100" spans="1:6">
      <c r="A100" s="4" t="s">
        <v>323</v>
      </c>
      <c r="B100" s="4" t="s">
        <v>325</v>
      </c>
      <c r="C100" s="9">
        <v>37.9</v>
      </c>
      <c r="D100" s="13">
        <v>92.06</v>
      </c>
      <c r="E100" s="28">
        <v>82.37</v>
      </c>
      <c r="F100" s="29">
        <v>1.429</v>
      </c>
    </row>
    <row r="101" spans="1:6">
      <c r="A101" s="4" t="s">
        <v>326</v>
      </c>
      <c r="B101" s="4" t="s">
        <v>327</v>
      </c>
      <c r="C101" s="9">
        <v>49.9</v>
      </c>
      <c r="D101" s="13">
        <v>109.16</v>
      </c>
      <c r="E101" s="28">
        <v>97.67</v>
      </c>
      <c r="F101" s="29">
        <v>1.1876</v>
      </c>
    </row>
    <row r="102" spans="1:6">
      <c r="A102" s="4" t="s">
        <v>328</v>
      </c>
      <c r="B102" s="4" t="s">
        <v>330</v>
      </c>
      <c r="C102" s="9">
        <v>49.9</v>
      </c>
      <c r="D102" s="13">
        <v>112</v>
      </c>
      <c r="E102" s="28">
        <v>100.22</v>
      </c>
      <c r="F102" s="29">
        <v>1.2444999999999999</v>
      </c>
    </row>
    <row r="103" spans="1:6">
      <c r="A103" s="4" t="s">
        <v>331</v>
      </c>
      <c r="B103" s="4" t="s">
        <v>333</v>
      </c>
      <c r="C103" s="9">
        <v>36.9</v>
      </c>
      <c r="D103" s="13">
        <v>85.41</v>
      </c>
      <c r="E103" s="28">
        <v>76.42</v>
      </c>
      <c r="F103" s="29">
        <v>1.3146</v>
      </c>
    </row>
    <row r="104" spans="1:6">
      <c r="A104" s="4" t="s">
        <v>335</v>
      </c>
      <c r="B104" s="4" t="s">
        <v>337</v>
      </c>
      <c r="C104" s="9">
        <v>269</v>
      </c>
      <c r="D104" s="13">
        <v>512.04999999999995</v>
      </c>
      <c r="E104" s="28">
        <v>458.15</v>
      </c>
      <c r="F104" s="29">
        <v>0.90349999999999997</v>
      </c>
    </row>
    <row r="105" spans="1:6">
      <c r="A105" s="4" t="s">
        <v>338</v>
      </c>
      <c r="B105" s="4" t="s">
        <v>340</v>
      </c>
      <c r="C105" s="9">
        <v>269</v>
      </c>
      <c r="D105" s="13">
        <v>512.04999999999995</v>
      </c>
      <c r="E105" s="28">
        <v>458.15</v>
      </c>
      <c r="F105" s="29">
        <v>0.90349999999999997</v>
      </c>
    </row>
    <row r="106" spans="1:6">
      <c r="A106" s="4" t="s">
        <v>341</v>
      </c>
      <c r="B106" s="4" t="s">
        <v>343</v>
      </c>
      <c r="C106" s="9">
        <v>269</v>
      </c>
      <c r="D106" s="13">
        <v>512.04999999999995</v>
      </c>
      <c r="E106" s="28">
        <v>458.15</v>
      </c>
      <c r="F106" s="29">
        <v>0.90349999999999997</v>
      </c>
    </row>
    <row r="107" spans="1:6">
      <c r="A107" s="4" t="s">
        <v>344</v>
      </c>
      <c r="B107" s="4" t="s">
        <v>346</v>
      </c>
      <c r="C107" s="9">
        <v>269</v>
      </c>
      <c r="D107" s="13">
        <v>512.04999999999995</v>
      </c>
      <c r="E107" s="28">
        <v>458.15</v>
      </c>
      <c r="F107" s="29">
        <v>0.90349999999999997</v>
      </c>
    </row>
    <row r="108" spans="1:6">
      <c r="A108" s="16" t="s">
        <v>348</v>
      </c>
      <c r="B108" s="16" t="s">
        <v>350</v>
      </c>
      <c r="C108" s="30">
        <v>319</v>
      </c>
      <c r="D108" s="22">
        <v>545.49</v>
      </c>
      <c r="E108" s="31">
        <v>488.07</v>
      </c>
      <c r="F108" s="32">
        <v>0.71</v>
      </c>
    </row>
    <row r="109" spans="1:6">
      <c r="A109" s="4" t="s">
        <v>351</v>
      </c>
      <c r="B109" s="4" t="s">
        <v>353</v>
      </c>
      <c r="C109" s="9">
        <v>189</v>
      </c>
      <c r="D109" s="13">
        <v>592.70000000000005</v>
      </c>
      <c r="E109" s="28">
        <v>530.30999999999995</v>
      </c>
      <c r="F109" s="29">
        <v>2.1360000000000001</v>
      </c>
    </row>
    <row r="110" spans="1:6">
      <c r="A110" s="16" t="s">
        <v>355</v>
      </c>
      <c r="B110" s="16" t="s">
        <v>357</v>
      </c>
      <c r="C110" s="30">
        <v>289</v>
      </c>
      <c r="D110" s="22">
        <v>494.19</v>
      </c>
      <c r="E110" s="31">
        <v>442.17</v>
      </c>
      <c r="F110" s="32">
        <v>0.71</v>
      </c>
    </row>
    <row r="111" spans="1:6">
      <c r="A111" s="16" t="s">
        <v>359</v>
      </c>
      <c r="B111" s="16" t="s">
        <v>361</v>
      </c>
      <c r="C111" s="30">
        <v>313</v>
      </c>
      <c r="D111" s="22">
        <v>535.23</v>
      </c>
      <c r="E111" s="31">
        <v>478.89</v>
      </c>
      <c r="F111" s="32">
        <v>0.71</v>
      </c>
    </row>
    <row r="112" spans="1:6">
      <c r="A112" s="16" t="s">
        <v>362</v>
      </c>
      <c r="B112" s="16" t="s">
        <v>364</v>
      </c>
      <c r="C112" s="30">
        <v>429</v>
      </c>
      <c r="D112" s="22">
        <v>733.59</v>
      </c>
      <c r="E112" s="31">
        <v>656.37</v>
      </c>
      <c r="F112" s="32">
        <v>0.71</v>
      </c>
    </row>
    <row r="113" spans="1:6">
      <c r="A113" s="16" t="s">
        <v>365</v>
      </c>
      <c r="B113" s="16" t="s">
        <v>367</v>
      </c>
      <c r="C113" s="30">
        <v>329</v>
      </c>
      <c r="D113" s="22">
        <v>562.59</v>
      </c>
      <c r="E113" s="31">
        <v>503.37</v>
      </c>
      <c r="F113" s="32">
        <v>0.71</v>
      </c>
    </row>
    <row r="114" spans="1:6">
      <c r="A114" s="16" t="s">
        <v>369</v>
      </c>
      <c r="B114" s="16" t="s">
        <v>371</v>
      </c>
      <c r="C114" s="30">
        <v>313</v>
      </c>
      <c r="D114" s="22">
        <v>535.23</v>
      </c>
      <c r="E114" s="31">
        <v>478.89</v>
      </c>
      <c r="F114" s="32">
        <v>0.71</v>
      </c>
    </row>
    <row r="115" spans="1:6">
      <c r="A115" s="4" t="s">
        <v>372</v>
      </c>
      <c r="B115" s="4" t="s">
        <v>374</v>
      </c>
      <c r="C115" s="9">
        <v>189</v>
      </c>
      <c r="D115" s="13">
        <v>545.20000000000005</v>
      </c>
      <c r="E115" s="28">
        <v>487.81</v>
      </c>
      <c r="F115" s="29">
        <v>1.8847</v>
      </c>
    </row>
    <row r="116" spans="1:6">
      <c r="A116" s="16" t="s">
        <v>375</v>
      </c>
      <c r="B116" s="16" t="s">
        <v>377</v>
      </c>
      <c r="C116" s="30">
        <v>429</v>
      </c>
      <c r="D116" s="22">
        <v>733.59</v>
      </c>
      <c r="E116" s="31">
        <v>656.37</v>
      </c>
      <c r="F116" s="32">
        <v>0.71</v>
      </c>
    </row>
    <row r="117" spans="1:6">
      <c r="A117" s="4" t="s">
        <v>379</v>
      </c>
      <c r="B117" s="4" t="s">
        <v>381</v>
      </c>
      <c r="C117" s="9">
        <v>210.6</v>
      </c>
      <c r="D117" s="13">
        <v>400.14</v>
      </c>
      <c r="E117" s="28">
        <v>358.02</v>
      </c>
      <c r="F117" s="29">
        <v>0.9</v>
      </c>
    </row>
    <row r="118" spans="1:6">
      <c r="A118" s="4" t="s">
        <v>382</v>
      </c>
      <c r="B118" s="4" t="s">
        <v>384</v>
      </c>
      <c r="C118" s="9">
        <v>224.1</v>
      </c>
      <c r="D118" s="13">
        <v>425.79</v>
      </c>
      <c r="E118" s="28">
        <v>380.97</v>
      </c>
      <c r="F118" s="29">
        <v>0.9</v>
      </c>
    </row>
    <row r="119" spans="1:6">
      <c r="A119" s="4" t="s">
        <v>385</v>
      </c>
      <c r="B119" s="4" t="s">
        <v>387</v>
      </c>
      <c r="C119" s="9">
        <v>228.65</v>
      </c>
      <c r="D119" s="13">
        <v>459.99</v>
      </c>
      <c r="E119" s="28">
        <v>411.57</v>
      </c>
      <c r="F119" s="29">
        <v>1.0118</v>
      </c>
    </row>
    <row r="120" spans="1:6">
      <c r="A120" s="4" t="s">
        <v>388</v>
      </c>
      <c r="B120" s="4" t="s">
        <v>390</v>
      </c>
      <c r="C120" s="9">
        <v>254.15</v>
      </c>
      <c r="D120" s="13">
        <v>511.29</v>
      </c>
      <c r="E120" s="28">
        <v>457.47</v>
      </c>
      <c r="F120" s="29">
        <v>1.0118</v>
      </c>
    </row>
    <row r="121" spans="1:6">
      <c r="A121" s="4" t="s">
        <v>392</v>
      </c>
      <c r="B121" s="4" t="s">
        <v>394</v>
      </c>
      <c r="C121" s="9">
        <v>179.1</v>
      </c>
      <c r="D121" s="13">
        <v>340.29</v>
      </c>
      <c r="E121" s="28">
        <v>304.47000000000003</v>
      </c>
      <c r="F121" s="29">
        <v>0.9</v>
      </c>
    </row>
    <row r="122" spans="1:6">
      <c r="A122" s="4" t="s">
        <v>395</v>
      </c>
      <c r="B122" s="4" t="s">
        <v>397</v>
      </c>
      <c r="C122" s="9">
        <v>197.1</v>
      </c>
      <c r="D122" s="13">
        <v>374.49</v>
      </c>
      <c r="E122" s="28">
        <v>335.07</v>
      </c>
      <c r="F122" s="29">
        <v>0.9</v>
      </c>
    </row>
    <row r="123" spans="1:6">
      <c r="A123" s="4" t="s">
        <v>398</v>
      </c>
      <c r="B123" s="4" t="s">
        <v>400</v>
      </c>
      <c r="C123" s="9">
        <v>203.15</v>
      </c>
      <c r="D123" s="13">
        <v>408.69</v>
      </c>
      <c r="E123" s="28">
        <v>365.67</v>
      </c>
      <c r="F123" s="29">
        <v>1.0118</v>
      </c>
    </row>
    <row r="124" spans="1:6">
      <c r="A124" s="4" t="s">
        <v>401</v>
      </c>
      <c r="B124" s="4" t="s">
        <v>403</v>
      </c>
      <c r="C124" s="9">
        <v>228.65</v>
      </c>
      <c r="D124" s="13">
        <v>459.99</v>
      </c>
      <c r="E124" s="28">
        <v>411.57</v>
      </c>
      <c r="F124" s="29">
        <v>1.0118</v>
      </c>
    </row>
    <row r="125" spans="1:6">
      <c r="A125" s="4" t="s">
        <v>405</v>
      </c>
      <c r="B125" s="4" t="s">
        <v>407</v>
      </c>
      <c r="C125" s="9">
        <v>206.1</v>
      </c>
      <c r="D125" s="13">
        <v>391.59</v>
      </c>
      <c r="E125" s="28">
        <v>350.37</v>
      </c>
      <c r="F125" s="29">
        <v>0.9</v>
      </c>
    </row>
    <row r="126" spans="1:6">
      <c r="A126" s="4" t="s">
        <v>408</v>
      </c>
      <c r="B126" s="4" t="s">
        <v>410</v>
      </c>
      <c r="C126" s="9">
        <v>215.1</v>
      </c>
      <c r="D126" s="13">
        <v>408.69</v>
      </c>
      <c r="E126" s="28">
        <v>365.67</v>
      </c>
      <c r="F126" s="29">
        <v>0.9</v>
      </c>
    </row>
    <row r="127" spans="1:6">
      <c r="A127" s="4" t="s">
        <v>411</v>
      </c>
      <c r="B127" s="4" t="s">
        <v>413</v>
      </c>
      <c r="C127" s="9">
        <v>296.10000000000002</v>
      </c>
      <c r="D127" s="13">
        <v>562.59</v>
      </c>
      <c r="E127" s="28">
        <v>503.37</v>
      </c>
      <c r="F127" s="29">
        <v>0.9</v>
      </c>
    </row>
    <row r="128" spans="1:6">
      <c r="A128" s="4" t="s">
        <v>414</v>
      </c>
      <c r="B128" s="4" t="s">
        <v>416</v>
      </c>
      <c r="C128" s="9">
        <v>310.5</v>
      </c>
      <c r="D128" s="13">
        <v>589.95000000000005</v>
      </c>
      <c r="E128" s="28">
        <v>527.85</v>
      </c>
      <c r="F128" s="29">
        <v>0.9</v>
      </c>
    </row>
    <row r="129" spans="1:6">
      <c r="A129" s="16" t="s">
        <v>417</v>
      </c>
      <c r="B129" s="16" t="s">
        <v>419</v>
      </c>
      <c r="C129" s="30">
        <v>239</v>
      </c>
      <c r="D129" s="22">
        <v>408.69</v>
      </c>
      <c r="E129" s="31">
        <v>365.67</v>
      </c>
      <c r="F129" s="32">
        <v>0.71</v>
      </c>
    </row>
    <row r="130" spans="1:6">
      <c r="A130" s="4" t="s">
        <v>421</v>
      </c>
      <c r="B130" s="4" t="s">
        <v>423</v>
      </c>
      <c r="C130" s="9">
        <v>206.1</v>
      </c>
      <c r="D130" s="13">
        <v>391.59</v>
      </c>
      <c r="E130" s="28">
        <v>350.37</v>
      </c>
      <c r="F130" s="29">
        <v>0.9</v>
      </c>
    </row>
    <row r="131" spans="1:6">
      <c r="A131" s="4" t="s">
        <v>424</v>
      </c>
      <c r="B131" s="4" t="s">
        <v>426</v>
      </c>
      <c r="C131" s="9">
        <v>215.1</v>
      </c>
      <c r="D131" s="13">
        <v>408.69</v>
      </c>
      <c r="E131" s="28">
        <v>365.67</v>
      </c>
      <c r="F131" s="29">
        <v>0.9</v>
      </c>
    </row>
    <row r="132" spans="1:6">
      <c r="A132" s="4" t="s">
        <v>427</v>
      </c>
      <c r="B132" s="4" t="s">
        <v>429</v>
      </c>
      <c r="C132" s="9">
        <v>296.10000000000002</v>
      </c>
      <c r="D132" s="13">
        <v>562.59</v>
      </c>
      <c r="E132" s="28">
        <v>503.37</v>
      </c>
      <c r="F132" s="29">
        <v>0.9</v>
      </c>
    </row>
    <row r="133" spans="1:6">
      <c r="A133" s="4" t="s">
        <v>430</v>
      </c>
      <c r="B133" s="4" t="s">
        <v>432</v>
      </c>
      <c r="C133" s="9">
        <v>310.5</v>
      </c>
      <c r="D133" s="13">
        <v>589.95000000000005</v>
      </c>
      <c r="E133" s="28">
        <v>527.85</v>
      </c>
      <c r="F133" s="29">
        <v>0.9</v>
      </c>
    </row>
    <row r="134" spans="1:6">
      <c r="A134" s="4" t="s">
        <v>434</v>
      </c>
      <c r="B134" s="4" t="s">
        <v>436</v>
      </c>
      <c r="C134" s="9">
        <v>189</v>
      </c>
      <c r="D134" s="13">
        <v>524.29999999999995</v>
      </c>
      <c r="E134" s="28">
        <v>469.11</v>
      </c>
      <c r="F134" s="29">
        <v>1.7741</v>
      </c>
    </row>
    <row r="135" spans="1:6">
      <c r="A135" s="4" t="s">
        <v>437</v>
      </c>
      <c r="B135" s="4" t="s">
        <v>439</v>
      </c>
      <c r="C135" s="9">
        <v>189</v>
      </c>
      <c r="D135" s="13">
        <v>533.79999999999995</v>
      </c>
      <c r="E135" s="28">
        <v>477.61</v>
      </c>
      <c r="F135" s="29">
        <v>1.8243</v>
      </c>
    </row>
    <row r="136" spans="1:6">
      <c r="A136" s="16" t="s">
        <v>441</v>
      </c>
      <c r="B136" s="16" t="s">
        <v>443</v>
      </c>
      <c r="C136" s="30">
        <v>49.34</v>
      </c>
      <c r="D136" s="22">
        <v>85.41</v>
      </c>
      <c r="E136" s="31">
        <v>76.42</v>
      </c>
      <c r="F136" s="32">
        <v>0.73099999999999998</v>
      </c>
    </row>
    <row r="137" spans="1:6">
      <c r="A137" s="4" t="s">
        <v>445</v>
      </c>
      <c r="B137" s="4" t="s">
        <v>447</v>
      </c>
      <c r="C137" s="9">
        <v>17.899999999999999</v>
      </c>
      <c r="D137" s="13">
        <v>45.5</v>
      </c>
      <c r="E137" s="28">
        <v>40.71</v>
      </c>
      <c r="F137" s="29">
        <v>1.5419</v>
      </c>
    </row>
    <row r="138" spans="1:6">
      <c r="A138" s="4" t="s">
        <v>448</v>
      </c>
      <c r="B138" s="4" t="s">
        <v>450</v>
      </c>
      <c r="C138" s="9">
        <v>17.899999999999999</v>
      </c>
      <c r="D138" s="13">
        <v>45.5</v>
      </c>
      <c r="E138" s="28">
        <v>40.71</v>
      </c>
      <c r="F138" s="29">
        <v>1.5419</v>
      </c>
    </row>
    <row r="139" spans="1:6">
      <c r="A139" s="4" t="s">
        <v>451</v>
      </c>
      <c r="B139" s="4" t="s">
        <v>453</v>
      </c>
      <c r="C139" s="9">
        <v>17.899999999999999</v>
      </c>
      <c r="D139" s="13">
        <v>45.5</v>
      </c>
      <c r="E139" s="28">
        <v>40.71</v>
      </c>
      <c r="F139" s="29">
        <v>1.5419</v>
      </c>
    </row>
    <row r="140" spans="1:6">
      <c r="A140" s="4" t="s">
        <v>454</v>
      </c>
      <c r="B140" s="4" t="s">
        <v>456</v>
      </c>
      <c r="C140" s="9">
        <v>18.899999999999999</v>
      </c>
      <c r="D140" s="13">
        <v>47.4</v>
      </c>
      <c r="E140" s="28">
        <v>42.41</v>
      </c>
      <c r="F140" s="29">
        <v>1.5079</v>
      </c>
    </row>
    <row r="141" spans="1:6">
      <c r="A141" s="4" t="s">
        <v>457</v>
      </c>
      <c r="B141" s="4" t="s">
        <v>459</v>
      </c>
      <c r="C141" s="9">
        <v>18.899999999999999</v>
      </c>
      <c r="D141" s="13">
        <v>47.4</v>
      </c>
      <c r="E141" s="28">
        <v>42.41</v>
      </c>
      <c r="F141" s="29">
        <v>1.5079</v>
      </c>
    </row>
    <row r="142" spans="1:6">
      <c r="A142" s="4" t="s">
        <v>460</v>
      </c>
      <c r="B142" s="4" t="s">
        <v>462</v>
      </c>
      <c r="C142" s="9">
        <v>18.899999999999999</v>
      </c>
      <c r="D142" s="13">
        <v>47.4</v>
      </c>
      <c r="E142" s="28">
        <v>42.41</v>
      </c>
      <c r="F142" s="29">
        <v>1.5079</v>
      </c>
    </row>
    <row r="143" spans="1:6">
      <c r="A143" s="16" t="s">
        <v>464</v>
      </c>
      <c r="B143" s="16" t="s">
        <v>466</v>
      </c>
      <c r="C143" s="30">
        <v>129</v>
      </c>
      <c r="D143" s="22">
        <v>236.55</v>
      </c>
      <c r="E143" s="31">
        <v>211.65</v>
      </c>
      <c r="F143" s="32">
        <v>0.8337</v>
      </c>
    </row>
  </sheetData>
  <sheetProtection password="CDB2" sheet="1" autoFilter="0"/>
  <autoFilter ref="A3:F143" xr:uid="{00000000-0009-0000-0000-000001000000}"/>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4"/>
  <sheetViews>
    <sheetView showGridLines="0" workbookViewId="0"/>
  </sheetViews>
  <sheetFormatPr defaultRowHeight="15"/>
  <cols>
    <col min="1" max="1" width="34" customWidth="1"/>
    <col min="2" max="2" width="48" customWidth="1"/>
    <col min="3" max="3" width="10" customWidth="1"/>
    <col min="4" max="4" width="14" customWidth="1"/>
  </cols>
  <sheetData>
    <row r="1" spans="1:4" ht="27.95" customHeight="1">
      <c r="A1" s="48" t="s">
        <v>474</v>
      </c>
      <c r="B1" s="38"/>
      <c r="C1" s="38"/>
      <c r="D1" s="38"/>
    </row>
    <row r="3" spans="1:4">
      <c r="A3" s="33" t="s">
        <v>475</v>
      </c>
      <c r="B3" s="34"/>
    </row>
    <row r="4" spans="1:4">
      <c r="A4" s="33" t="s">
        <v>476</v>
      </c>
      <c r="B4" s="34"/>
    </row>
    <row r="5" spans="1:4">
      <c r="A5" s="33" t="s">
        <v>477</v>
      </c>
      <c r="B5" s="34"/>
    </row>
    <row r="6" spans="1:4">
      <c r="A6" s="33" t="s">
        <v>478</v>
      </c>
      <c r="B6" s="34"/>
    </row>
    <row r="7" spans="1:4">
      <c r="A7" s="33" t="s">
        <v>479</v>
      </c>
      <c r="B7" s="34"/>
    </row>
    <row r="8" spans="1:4">
      <c r="A8" s="33" t="s">
        <v>480</v>
      </c>
      <c r="B8" s="34"/>
    </row>
    <row r="9" spans="1:4">
      <c r="A9" s="33" t="s">
        <v>481</v>
      </c>
      <c r="B9" s="34"/>
    </row>
    <row r="10" spans="1:4">
      <c r="A10" s="33" t="s">
        <v>482</v>
      </c>
      <c r="B10" s="34"/>
    </row>
    <row r="11" spans="1:4">
      <c r="A11" s="33" t="s">
        <v>483</v>
      </c>
      <c r="B11" s="34"/>
    </row>
    <row r="12" spans="1:4">
      <c r="A12" s="33" t="s">
        <v>484</v>
      </c>
      <c r="B12" s="34"/>
    </row>
    <row r="13" spans="1:4">
      <c r="A13" s="33" t="s">
        <v>485</v>
      </c>
      <c r="B13" s="34"/>
    </row>
    <row r="14" spans="1:4">
      <c r="A14" s="33" t="s">
        <v>486</v>
      </c>
      <c r="B14" s="34"/>
    </row>
    <row r="15" spans="1:4">
      <c r="A15" s="33" t="s">
        <v>487</v>
      </c>
      <c r="B15" s="34"/>
    </row>
    <row r="17" spans="1:4">
      <c r="A17" s="35" t="s">
        <v>488</v>
      </c>
    </row>
    <row r="18" spans="1:4">
      <c r="A18" s="50" t="s">
        <v>489</v>
      </c>
      <c r="B18" s="38"/>
      <c r="C18" s="38"/>
      <c r="D18" s="38"/>
    </row>
    <row r="19" spans="1:4">
      <c r="A19" s="50" t="s">
        <v>490</v>
      </c>
      <c r="B19" s="38"/>
      <c r="C19" s="38"/>
      <c r="D19" s="38"/>
    </row>
    <row r="20" spans="1:4">
      <c r="A20" s="50" t="s">
        <v>491</v>
      </c>
      <c r="B20" s="38"/>
      <c r="C20" s="38"/>
      <c r="D20" s="38"/>
    </row>
    <row r="21" spans="1:4">
      <c r="A21" s="50" t="s">
        <v>492</v>
      </c>
      <c r="B21" s="38"/>
      <c r="C21" s="38"/>
      <c r="D21" s="38"/>
    </row>
    <row r="22" spans="1:4">
      <c r="A22" s="50" t="s">
        <v>493</v>
      </c>
      <c r="B22" s="38"/>
      <c r="C22" s="38"/>
      <c r="D22" s="38"/>
    </row>
    <row r="24" spans="1:4">
      <c r="A24" s="35" t="s">
        <v>494</v>
      </c>
    </row>
    <row r="25" spans="1:4">
      <c r="A25" s="49" t="s">
        <v>495</v>
      </c>
      <c r="B25" s="38"/>
      <c r="C25" s="38"/>
      <c r="D25" s="36">
        <v>4</v>
      </c>
    </row>
    <row r="26" spans="1:4">
      <c r="A26" s="49" t="s">
        <v>496</v>
      </c>
      <c r="B26" s="38"/>
      <c r="C26" s="38"/>
      <c r="D26" s="36">
        <v>4</v>
      </c>
    </row>
    <row r="27" spans="1:4">
      <c r="A27" s="49" t="s">
        <v>497</v>
      </c>
      <c r="B27" s="38"/>
      <c r="C27" s="38"/>
      <c r="D27" s="36">
        <v>6</v>
      </c>
    </row>
    <row r="28" spans="1:4">
      <c r="A28" s="49" t="s">
        <v>498</v>
      </c>
      <c r="B28" s="38"/>
      <c r="C28" s="38"/>
      <c r="D28" s="36">
        <v>2</v>
      </c>
    </row>
    <row r="29" spans="1:4">
      <c r="A29" s="49" t="s">
        <v>499</v>
      </c>
      <c r="B29" s="38"/>
      <c r="C29" s="38"/>
      <c r="D29" s="36">
        <v>12</v>
      </c>
    </row>
    <row r="30" spans="1:4">
      <c r="A30" s="49" t="s">
        <v>500</v>
      </c>
      <c r="B30" s="38"/>
      <c r="C30" s="38"/>
      <c r="D30" s="36">
        <v>6</v>
      </c>
    </row>
    <row r="31" spans="1:4">
      <c r="A31" s="49" t="s">
        <v>501</v>
      </c>
      <c r="B31" s="38"/>
      <c r="C31" s="38"/>
      <c r="D31" s="36">
        <v>24</v>
      </c>
    </row>
    <row r="32" spans="1:4">
      <c r="A32" s="49" t="s">
        <v>502</v>
      </c>
      <c r="B32" s="38"/>
      <c r="C32" s="38"/>
      <c r="D32" s="36">
        <v>6</v>
      </c>
    </row>
    <row r="33" spans="1:4">
      <c r="A33" s="49" t="s">
        <v>503</v>
      </c>
      <c r="B33" s="38"/>
      <c r="C33" s="38"/>
      <c r="D33" s="36">
        <v>6</v>
      </c>
    </row>
    <row r="34" spans="1:4">
      <c r="A34" s="44" t="s">
        <v>504</v>
      </c>
      <c r="B34" s="38"/>
      <c r="C34" s="38"/>
      <c r="D34" s="38"/>
    </row>
  </sheetData>
  <sheetProtection password="CDB2" sheet="1"/>
  <mergeCells count="16">
    <mergeCell ref="A34:D34"/>
    <mergeCell ref="A32:C32"/>
    <mergeCell ref="A31:C31"/>
    <mergeCell ref="A20:D20"/>
    <mergeCell ref="A21:D21"/>
    <mergeCell ref="A27:C27"/>
    <mergeCell ref="A30:C30"/>
    <mergeCell ref="A29:C29"/>
    <mergeCell ref="A26:C26"/>
    <mergeCell ref="A1:D1"/>
    <mergeCell ref="A25:C25"/>
    <mergeCell ref="A18:D18"/>
    <mergeCell ref="A28:C28"/>
    <mergeCell ref="A33:C33"/>
    <mergeCell ref="A22:D22"/>
    <mergeCell ref="A19:D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PEDIDO</vt:lpstr>
      <vt:lpstr>SEU LUCRO</vt:lpstr>
      <vt:lpstr>CADASTRO E CONDIÇÕES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Pedido Propetz Distribuição — Agosto 2026</dc:title>
  <dc:creator>Propetz / Grupo Daros</dc:creator>
  <cp:lastModifiedBy>Leonardo Daros</cp:lastModifiedBy>
  <dcterms:created xsi:type="dcterms:W3CDTF">2026-07-22T17:26:10Z</dcterms:created>
  <dcterms:modified xsi:type="dcterms:W3CDTF">2026-07-22T17:39:51Z</dcterms:modified>
</cp:coreProperties>
</file>