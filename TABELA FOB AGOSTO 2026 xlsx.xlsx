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9d5c715c185684/Área de Trabalho/Automação Dados/Automação Distribuição/"/>
    </mc:Choice>
  </mc:AlternateContent>
  <xr:revisionPtr revIDLastSave="1" documentId="8_{8EF1510C-32BC-47FF-8562-D989EF59D420}" xr6:coauthVersionLast="47" xr6:coauthVersionMax="47" xr10:uidLastSave="{763C4F60-57D9-42CD-9B8C-A834E1B0C234}"/>
  <bookViews>
    <workbookView minimized="1" xWindow="9255" yWindow="5730" windowWidth="16470" windowHeight="11235" xr2:uid="{00000000-000D-0000-FFFF-FFFF00000000}"/>
  </bookViews>
  <sheets>
    <sheet name="FOB" sheetId="1" r:id="rId1"/>
    <sheet name="VALOR SUGERIDO" sheetId="3" r:id="rId2"/>
    <sheet name="Planilha1" sheetId="8" state="hidden" r:id="rId3"/>
    <sheet name="Planilha2" sheetId="2" state="hidden" r:id="rId4"/>
    <sheet name="PROMO" sheetId="5" state="hidden" r:id="rId5"/>
    <sheet name="Planilha4" sheetId="7" state="hidden" r:id="rId6"/>
    <sheet name="CONTROLE DE REVISOES" sheetId="4" state="hidden" r:id="rId7"/>
  </sheets>
  <definedNames>
    <definedName name="_xlnm._FilterDatabase" localSheetId="0" hidden="1">FOB!$B$15:$AD$195</definedName>
    <definedName name="_xlnm._FilterDatabase" localSheetId="3" hidden="1">Planilha2!$A$2:$E$181</definedName>
    <definedName name="_xlnm._FilterDatabase" localSheetId="4" hidden="1">PROMO!$A$1:$D$203</definedName>
    <definedName name="_xlnm._FilterDatabase" localSheetId="1" hidden="1">'VALOR SUGERIDO'!$A$19:$H$196</definedName>
    <definedName name="_xlnm.Print_Area" localSheetId="4">PROMO!$A$2:$D$152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3" i="3" l="1"/>
  <c r="C32" i="3"/>
  <c r="C33" i="3"/>
  <c r="C35" i="3"/>
  <c r="C36" i="3"/>
  <c r="C38" i="3"/>
  <c r="C39" i="3"/>
  <c r="C45" i="3"/>
  <c r="C46" i="3"/>
  <c r="C47" i="3"/>
  <c r="C48" i="3"/>
  <c r="C49" i="3"/>
  <c r="C51" i="3"/>
  <c r="C52" i="3"/>
  <c r="C54" i="3"/>
  <c r="C55" i="3"/>
  <c r="C56" i="3"/>
  <c r="C57" i="3"/>
  <c r="C58" i="3"/>
  <c r="C63" i="3"/>
  <c r="C65" i="3"/>
  <c r="C66" i="3"/>
  <c r="C68" i="3"/>
  <c r="C69" i="3"/>
  <c r="C71" i="3"/>
  <c r="C72" i="3"/>
  <c r="C73" i="3"/>
  <c r="C74" i="3"/>
  <c r="C75" i="3"/>
  <c r="C76" i="3"/>
  <c r="C78" i="3"/>
  <c r="C79" i="3"/>
  <c r="C82" i="3"/>
  <c r="C83" i="3"/>
  <c r="C85" i="3"/>
  <c r="C87" i="3"/>
  <c r="C88" i="3"/>
  <c r="C89" i="3"/>
  <c r="C91" i="3"/>
  <c r="C92" i="3"/>
  <c r="C94" i="3"/>
  <c r="C95" i="3"/>
  <c r="C96" i="3"/>
  <c r="C97" i="3"/>
  <c r="C98" i="3"/>
  <c r="C99" i="3"/>
  <c r="C100" i="3"/>
  <c r="C102" i="3"/>
  <c r="C105" i="3"/>
  <c r="C109" i="3"/>
  <c r="C117" i="3"/>
  <c r="C119" i="3"/>
  <c r="C120" i="3"/>
  <c r="C121" i="3"/>
  <c r="C129" i="3"/>
  <c r="C130" i="3"/>
  <c r="C137" i="3"/>
  <c r="C150" i="3"/>
  <c r="C151" i="3"/>
  <c r="C153" i="3"/>
  <c r="C155" i="3"/>
  <c r="C156" i="3"/>
  <c r="C157" i="3"/>
  <c r="C159" i="3"/>
  <c r="C160" i="3"/>
  <c r="C161" i="3"/>
  <c r="C163" i="3"/>
  <c r="C164" i="3"/>
  <c r="C165" i="3"/>
  <c r="C166" i="3"/>
  <c r="C168" i="3"/>
  <c r="C169" i="3"/>
  <c r="C170" i="3"/>
  <c r="C171" i="3"/>
  <c r="C173" i="3"/>
  <c r="C174" i="3"/>
  <c r="C175" i="3"/>
  <c r="C176" i="3"/>
  <c r="C177" i="3"/>
  <c r="C179" i="3"/>
  <c r="C180" i="3"/>
  <c r="C181" i="3"/>
  <c r="C182" i="3"/>
  <c r="C184" i="3"/>
  <c r="C185" i="3"/>
  <c r="C187" i="3"/>
  <c r="C191" i="3"/>
  <c r="C192" i="3"/>
  <c r="C193" i="3"/>
  <c r="C194" i="3"/>
  <c r="C196" i="3"/>
  <c r="C21" i="3"/>
  <c r="C22" i="3"/>
  <c r="C23" i="3"/>
  <c r="C24" i="3"/>
  <c r="C25" i="3"/>
  <c r="C26" i="3"/>
  <c r="C27" i="3"/>
  <c r="C28" i="3"/>
  <c r="C29" i="3"/>
  <c r="C30" i="3"/>
  <c r="C189" i="3" l="1"/>
  <c r="C64" i="3"/>
  <c r="C67" i="3"/>
  <c r="C62" i="3"/>
  <c r="C128" i="3"/>
  <c r="C118" i="3"/>
  <c r="C190" i="3"/>
  <c r="C60" i="3"/>
  <c r="C59" i="3"/>
  <c r="C136" i="3"/>
  <c r="AA17" i="1" l="1"/>
  <c r="R184" i="1"/>
  <c r="S184" i="1"/>
  <c r="T184" i="1"/>
  <c r="U184" i="1"/>
  <c r="V184" i="1"/>
  <c r="X184" i="1"/>
  <c r="F64" i="1"/>
  <c r="R64" i="1" s="1"/>
  <c r="U64" i="1" s="1"/>
  <c r="V64" i="1" s="1"/>
  <c r="F108" i="1"/>
  <c r="S64" i="1" l="1"/>
  <c r="AB64" i="1" s="1"/>
  <c r="W64" i="1" l="1"/>
  <c r="X64" i="1" s="1"/>
  <c r="AC64" i="1" s="1"/>
  <c r="Z64" i="1"/>
  <c r="AA64" i="1" s="1"/>
  <c r="T64" i="1"/>
  <c r="AD64" i="1" l="1"/>
  <c r="Y64" i="1"/>
  <c r="R131" i="1" l="1"/>
  <c r="R81" i="1"/>
  <c r="R82" i="1"/>
  <c r="R84" i="1"/>
  <c r="R83" i="1"/>
  <c r="R90" i="1"/>
  <c r="R132" i="1"/>
  <c r="R102" i="1"/>
  <c r="R103" i="1"/>
  <c r="R133" i="1"/>
  <c r="R110" i="1"/>
  <c r="R112" i="1"/>
  <c r="R111" i="1"/>
  <c r="R113" i="1"/>
  <c r="R119" i="1"/>
  <c r="R120" i="1"/>
  <c r="R140" i="1"/>
  <c r="R106" i="1"/>
  <c r="R34" i="1"/>
  <c r="R40" i="1"/>
  <c r="R38" i="1"/>
  <c r="R37" i="1"/>
  <c r="R39" i="1"/>
  <c r="R183" i="1"/>
  <c r="R182" i="1"/>
  <c r="R121" i="1"/>
  <c r="U121" i="1" s="1"/>
  <c r="V121" i="1" s="1"/>
  <c r="R122" i="1"/>
  <c r="R124" i="1"/>
  <c r="R125" i="1"/>
  <c r="R123" i="1"/>
  <c r="U123" i="1" s="1"/>
  <c r="V123" i="1" s="1"/>
  <c r="R99" i="1"/>
  <c r="R114" i="1"/>
  <c r="R168" i="1"/>
  <c r="R169" i="1"/>
  <c r="R163" i="1"/>
  <c r="R164" i="1"/>
  <c r="U164" i="1" s="1"/>
  <c r="V164" i="1" s="1"/>
  <c r="R149" i="1"/>
  <c r="R158" i="1"/>
  <c r="R47" i="1"/>
  <c r="R46" i="1"/>
  <c r="D85" i="3"/>
  <c r="D33" i="3"/>
  <c r="D32" i="3"/>
  <c r="D29" i="3"/>
  <c r="D30" i="3"/>
  <c r="F85" i="1"/>
  <c r="R85" i="1" s="1"/>
  <c r="C69" i="2"/>
  <c r="K85" i="1" s="1"/>
  <c r="F30" i="1"/>
  <c r="F29" i="1"/>
  <c r="F18" i="1"/>
  <c r="F21" i="1"/>
  <c r="C16" i="2"/>
  <c r="C15" i="2"/>
  <c r="C12" i="2"/>
  <c r="C13" i="2"/>
  <c r="U133" i="1" l="1"/>
  <c r="V133" i="1" s="1"/>
  <c r="S133" i="1"/>
  <c r="S39" i="1"/>
  <c r="U39" i="1"/>
  <c r="V39" i="1" s="1"/>
  <c r="S140" i="1"/>
  <c r="U140" i="1"/>
  <c r="V140" i="1" s="1"/>
  <c r="S103" i="1"/>
  <c r="U103" i="1"/>
  <c r="V103" i="1" s="1"/>
  <c r="S120" i="1"/>
  <c r="U120" i="1"/>
  <c r="V120" i="1" s="1"/>
  <c r="S102" i="1"/>
  <c r="U102" i="1"/>
  <c r="V102" i="1" s="1"/>
  <c r="U83" i="1"/>
  <c r="V83" i="1" s="1"/>
  <c r="S83" i="1"/>
  <c r="U119" i="1"/>
  <c r="V119" i="1" s="1"/>
  <c r="S119" i="1"/>
  <c r="S84" i="1"/>
  <c r="U84" i="1"/>
  <c r="V84" i="1" s="1"/>
  <c r="U113" i="1"/>
  <c r="V113" i="1" s="1"/>
  <c r="S113" i="1"/>
  <c r="S132" i="1"/>
  <c r="U132" i="1"/>
  <c r="V132" i="1" s="1"/>
  <c r="S82" i="1"/>
  <c r="U82" i="1"/>
  <c r="V82" i="1" s="1"/>
  <c r="S46" i="1"/>
  <c r="U46" i="1"/>
  <c r="V46" i="1" s="1"/>
  <c r="S149" i="1"/>
  <c r="U149" i="1"/>
  <c r="V149" i="1" s="1"/>
  <c r="U163" i="1"/>
  <c r="V163" i="1" s="1"/>
  <c r="U182" i="1"/>
  <c r="V182" i="1"/>
  <c r="S182" i="1"/>
  <c r="U169" i="1"/>
  <c r="V169" i="1" s="1"/>
  <c r="S183" i="1"/>
  <c r="U183" i="1"/>
  <c r="V183" i="1" s="1"/>
  <c r="U168" i="1"/>
  <c r="V168" i="1" s="1"/>
  <c r="U125" i="1"/>
  <c r="V125" i="1" s="1"/>
  <c r="S125" i="1"/>
  <c r="U47" i="1"/>
  <c r="V47" i="1" s="1"/>
  <c r="S47" i="1"/>
  <c r="S114" i="1"/>
  <c r="U114" i="1"/>
  <c r="V114" i="1" s="1"/>
  <c r="S124" i="1"/>
  <c r="U124" i="1"/>
  <c r="V124" i="1" s="1"/>
  <c r="S37" i="1"/>
  <c r="U37" i="1"/>
  <c r="V37" i="1" s="1"/>
  <c r="U122" i="1"/>
  <c r="V122" i="1" s="1"/>
  <c r="U38" i="1"/>
  <c r="V38" i="1" s="1"/>
  <c r="S38" i="1"/>
  <c r="S158" i="1"/>
  <c r="U158" i="1"/>
  <c r="V158" i="1" s="1"/>
  <c r="U99" i="1"/>
  <c r="V99" i="1" s="1"/>
  <c r="S99" i="1"/>
  <c r="S106" i="1"/>
  <c r="U106" i="1"/>
  <c r="V106" i="1" s="1"/>
  <c r="S111" i="1"/>
  <c r="U111" i="1"/>
  <c r="V111" i="1" s="1"/>
  <c r="S81" i="1"/>
  <c r="U81" i="1"/>
  <c r="V81" i="1" s="1"/>
  <c r="S40" i="1"/>
  <c r="U40" i="1"/>
  <c r="V40" i="1" s="1"/>
  <c r="S112" i="1"/>
  <c r="U112" i="1"/>
  <c r="V112" i="1" s="1"/>
  <c r="S90" i="1"/>
  <c r="U90" i="1"/>
  <c r="V90" i="1" s="1"/>
  <c r="U131" i="1"/>
  <c r="V131" i="1"/>
  <c r="S131" i="1"/>
  <c r="U34" i="1"/>
  <c r="V34" i="1" s="1"/>
  <c r="U110" i="1"/>
  <c r="V110" i="1" s="1"/>
  <c r="S110" i="1"/>
  <c r="H18" i="1"/>
  <c r="S18" i="1" s="1"/>
  <c r="R18" i="1"/>
  <c r="H21" i="1"/>
  <c r="S21" i="1" s="1"/>
  <c r="R21" i="1"/>
  <c r="H30" i="1"/>
  <c r="S30" i="1" s="1"/>
  <c r="R30" i="1"/>
  <c r="U85" i="1"/>
  <c r="V85" i="1" s="1"/>
  <c r="H29" i="1"/>
  <c r="S29" i="1" s="1"/>
  <c r="R29" i="1"/>
  <c r="K37" i="1"/>
  <c r="K38" i="1"/>
  <c r="K30" i="1"/>
  <c r="L30" i="1" s="1"/>
  <c r="X30" i="1" s="1"/>
  <c r="K21" i="1"/>
  <c r="L21" i="1" s="1"/>
  <c r="X21" i="1" s="1"/>
  <c r="K18" i="1"/>
  <c r="M18" i="1" s="1"/>
  <c r="E29" i="3"/>
  <c r="K29" i="1"/>
  <c r="M29" i="1" s="1"/>
  <c r="M85" i="1"/>
  <c r="L85" i="1"/>
  <c r="X85" i="1" s="1"/>
  <c r="H85" i="1"/>
  <c r="S85" i="1" s="1"/>
  <c r="I85" i="1"/>
  <c r="D100" i="3"/>
  <c r="D162" i="3"/>
  <c r="D167" i="3"/>
  <c r="D172" i="3"/>
  <c r="D178" i="3"/>
  <c r="D183" i="3"/>
  <c r="D186" i="3"/>
  <c r="D188" i="3"/>
  <c r="D189" i="3"/>
  <c r="D190" i="3"/>
  <c r="E190" i="3" s="1"/>
  <c r="D191" i="3"/>
  <c r="D192" i="3"/>
  <c r="D193" i="3"/>
  <c r="D194" i="3"/>
  <c r="D179" i="3"/>
  <c r="D180" i="3"/>
  <c r="D181" i="3"/>
  <c r="D182" i="3"/>
  <c r="D184" i="3"/>
  <c r="D185" i="3"/>
  <c r="D187" i="3"/>
  <c r="D173" i="3"/>
  <c r="D174" i="3"/>
  <c r="D175" i="3"/>
  <c r="D176" i="3"/>
  <c r="D177" i="3"/>
  <c r="D168" i="3"/>
  <c r="D169" i="3"/>
  <c r="D170" i="3"/>
  <c r="D171" i="3"/>
  <c r="D160" i="3"/>
  <c r="D161" i="3"/>
  <c r="D163" i="3"/>
  <c r="D164" i="3"/>
  <c r="D165" i="3"/>
  <c r="D166" i="3"/>
  <c r="D159" i="3"/>
  <c r="D156" i="3"/>
  <c r="D157" i="3"/>
  <c r="D155" i="3"/>
  <c r="D153" i="3"/>
  <c r="D151" i="3"/>
  <c r="D150" i="3"/>
  <c r="D146" i="3"/>
  <c r="D147" i="3"/>
  <c r="D148" i="3"/>
  <c r="D145" i="3"/>
  <c r="D143" i="3"/>
  <c r="D140" i="3"/>
  <c r="D141" i="3"/>
  <c r="D142" i="3"/>
  <c r="D139" i="3"/>
  <c r="D137" i="3"/>
  <c r="D136" i="3"/>
  <c r="D133" i="3"/>
  <c r="D134" i="3"/>
  <c r="D132" i="3"/>
  <c r="D129" i="3"/>
  <c r="D130" i="3"/>
  <c r="D128" i="3"/>
  <c r="D118" i="3"/>
  <c r="D119" i="3"/>
  <c r="D120" i="3"/>
  <c r="D121" i="3"/>
  <c r="D122" i="3"/>
  <c r="D123" i="3"/>
  <c r="D124" i="3"/>
  <c r="D125" i="3"/>
  <c r="D126" i="3"/>
  <c r="D117" i="3"/>
  <c r="D112" i="3"/>
  <c r="D113" i="3"/>
  <c r="D114" i="3"/>
  <c r="D115" i="3"/>
  <c r="D111" i="3"/>
  <c r="D103" i="3"/>
  <c r="D104" i="3"/>
  <c r="D105" i="3"/>
  <c r="D106" i="3"/>
  <c r="D107" i="3"/>
  <c r="D108" i="3"/>
  <c r="D109" i="3"/>
  <c r="D102" i="3"/>
  <c r="D88" i="3"/>
  <c r="D89" i="3"/>
  <c r="D90" i="3"/>
  <c r="D91" i="3"/>
  <c r="D92" i="3"/>
  <c r="D94" i="3"/>
  <c r="D95" i="3"/>
  <c r="D96" i="3"/>
  <c r="D97" i="3"/>
  <c r="D98" i="3"/>
  <c r="D99" i="3"/>
  <c r="D87" i="3"/>
  <c r="D82" i="3"/>
  <c r="D83" i="3"/>
  <c r="D84" i="3"/>
  <c r="D81" i="3"/>
  <c r="D79" i="3"/>
  <c r="D78" i="3"/>
  <c r="D71" i="3"/>
  <c r="D72" i="3"/>
  <c r="D73" i="3"/>
  <c r="D74" i="3"/>
  <c r="D75" i="3"/>
  <c r="D76" i="3"/>
  <c r="D63" i="3"/>
  <c r="D64" i="3"/>
  <c r="D65" i="3"/>
  <c r="D66" i="3"/>
  <c r="D67" i="3"/>
  <c r="D68" i="3"/>
  <c r="D69" i="3"/>
  <c r="D62" i="3"/>
  <c r="D59" i="3"/>
  <c r="D60" i="3"/>
  <c r="D58" i="3"/>
  <c r="D55" i="3"/>
  <c r="D56" i="3"/>
  <c r="D54" i="3"/>
  <c r="D46" i="3"/>
  <c r="D47" i="3"/>
  <c r="D48" i="3"/>
  <c r="D49" i="3"/>
  <c r="D50" i="3"/>
  <c r="D51" i="3"/>
  <c r="D52" i="3"/>
  <c r="D45" i="3"/>
  <c r="D36" i="3"/>
  <c r="D37" i="3"/>
  <c r="D38" i="3"/>
  <c r="D39" i="3"/>
  <c r="D40" i="3"/>
  <c r="D41" i="3"/>
  <c r="D42" i="3"/>
  <c r="D43" i="3"/>
  <c r="D35" i="3"/>
  <c r="D28" i="3"/>
  <c r="D21" i="3"/>
  <c r="D22" i="3"/>
  <c r="D23" i="3"/>
  <c r="D24" i="3"/>
  <c r="D25" i="3"/>
  <c r="D26" i="3"/>
  <c r="D27" i="3"/>
  <c r="D20" i="3"/>
  <c r="K183" i="1"/>
  <c r="K182" i="1"/>
  <c r="G195" i="1"/>
  <c r="F194" i="1"/>
  <c r="C181" i="2"/>
  <c r="F136" i="1"/>
  <c r="F135" i="1"/>
  <c r="C121" i="2"/>
  <c r="K136" i="1" s="1"/>
  <c r="L136" i="1" s="1"/>
  <c r="C120" i="2"/>
  <c r="F57" i="1"/>
  <c r="C42" i="2"/>
  <c r="K57" i="1" s="1"/>
  <c r="F27" i="1"/>
  <c r="C11" i="2"/>
  <c r="J18" i="1" l="1"/>
  <c r="T18" i="1" s="1"/>
  <c r="Z112" i="1"/>
  <c r="AA112" i="1" s="1"/>
  <c r="T112" i="1"/>
  <c r="AB112" i="1"/>
  <c r="W112" i="1"/>
  <c r="X112" i="1" s="1"/>
  <c r="T106" i="1"/>
  <c r="W106" i="1"/>
  <c r="X106" i="1" s="1"/>
  <c r="Z106" i="1"/>
  <c r="AA106" i="1" s="1"/>
  <c r="AB106" i="1"/>
  <c r="Z47" i="1"/>
  <c r="AA47" i="1" s="1"/>
  <c r="T47" i="1"/>
  <c r="AB47" i="1"/>
  <c r="W47" i="1"/>
  <c r="X47" i="1" s="1"/>
  <c r="W183" i="1"/>
  <c r="X183" i="1" s="1"/>
  <c r="T183" i="1"/>
  <c r="AB183" i="1"/>
  <c r="W132" i="1"/>
  <c r="AB132" i="1"/>
  <c r="T132" i="1"/>
  <c r="X132" i="1"/>
  <c r="Z132" i="1"/>
  <c r="AA132" i="1" s="1"/>
  <c r="Z83" i="1"/>
  <c r="AA83" i="1" s="1"/>
  <c r="T83" i="1"/>
  <c r="AB83" i="1"/>
  <c r="W83" i="1"/>
  <c r="X83" i="1" s="1"/>
  <c r="Z103" i="1"/>
  <c r="AA103" i="1" s="1"/>
  <c r="AB103" i="1"/>
  <c r="T103" i="1"/>
  <c r="W103" i="1"/>
  <c r="X103" i="1" s="1"/>
  <c r="AB99" i="1"/>
  <c r="W99" i="1"/>
  <c r="AB149" i="1"/>
  <c r="W149" i="1"/>
  <c r="X149" i="1" s="1"/>
  <c r="T149" i="1"/>
  <c r="W113" i="1"/>
  <c r="X113" i="1" s="1"/>
  <c r="T113" i="1"/>
  <c r="Z113" i="1"/>
  <c r="AA113" i="1" s="1"/>
  <c r="AB113" i="1"/>
  <c r="W131" i="1"/>
  <c r="X131" i="1" s="1"/>
  <c r="Z131" i="1"/>
  <c r="AA131" i="1" s="1"/>
  <c r="T131" i="1"/>
  <c r="AB131" i="1"/>
  <c r="T40" i="1"/>
  <c r="AB40" i="1"/>
  <c r="W40" i="1"/>
  <c r="X40" i="1" s="1"/>
  <c r="Z40" i="1"/>
  <c r="AA40" i="1" s="1"/>
  <c r="T125" i="1"/>
  <c r="AB125" i="1"/>
  <c r="W125" i="1"/>
  <c r="X125" i="1" s="1"/>
  <c r="W140" i="1"/>
  <c r="X140" i="1" s="1"/>
  <c r="Z140" i="1"/>
  <c r="AA140" i="1" s="1"/>
  <c r="T140" i="1"/>
  <c r="AB140" i="1"/>
  <c r="AB37" i="1"/>
  <c r="T37" i="1"/>
  <c r="W37" i="1"/>
  <c r="X37" i="1" s="1"/>
  <c r="Z37" i="1"/>
  <c r="AA37" i="1" s="1"/>
  <c r="W182" i="1"/>
  <c r="X182" i="1"/>
  <c r="T182" i="1"/>
  <c r="AB182" i="1"/>
  <c r="T46" i="1"/>
  <c r="AB46" i="1"/>
  <c r="W46" i="1"/>
  <c r="X46" i="1" s="1"/>
  <c r="Z46" i="1"/>
  <c r="AA46" i="1" s="1"/>
  <c r="Z102" i="1"/>
  <c r="AA102" i="1" s="1"/>
  <c r="T102" i="1"/>
  <c r="AB102" i="1"/>
  <c r="W102" i="1"/>
  <c r="X102" i="1" s="1"/>
  <c r="AB81" i="1"/>
  <c r="W81" i="1"/>
  <c r="X81" i="1" s="1"/>
  <c r="T81" i="1"/>
  <c r="Z81" i="1"/>
  <c r="AA81" i="1" s="1"/>
  <c r="T158" i="1"/>
  <c r="AB158" i="1"/>
  <c r="W158" i="1"/>
  <c r="X158" i="1" s="1"/>
  <c r="Z38" i="1"/>
  <c r="AA38" i="1" s="1"/>
  <c r="AB38" i="1"/>
  <c r="T38" i="1"/>
  <c r="W38" i="1"/>
  <c r="X38" i="1" s="1"/>
  <c r="W124" i="1"/>
  <c r="X124" i="1" s="1"/>
  <c r="AB124" i="1"/>
  <c r="T124" i="1"/>
  <c r="Z82" i="1"/>
  <c r="AA82" i="1" s="1"/>
  <c r="W82" i="1"/>
  <c r="X82" i="1" s="1"/>
  <c r="AB82" i="1"/>
  <c r="T82" i="1"/>
  <c r="Z84" i="1"/>
  <c r="AA84" i="1" s="1"/>
  <c r="T84" i="1"/>
  <c r="AB84" i="1"/>
  <c r="W84" i="1"/>
  <c r="X84" i="1" s="1"/>
  <c r="T39" i="1"/>
  <c r="W39" i="1"/>
  <c r="X39" i="1" s="1"/>
  <c r="Z39" i="1"/>
  <c r="AA39" i="1" s="1"/>
  <c r="AB39" i="1"/>
  <c r="AB110" i="1"/>
  <c r="T110" i="1"/>
  <c r="W110" i="1"/>
  <c r="X110" i="1" s="1"/>
  <c r="Z110" i="1"/>
  <c r="AA110" i="1" s="1"/>
  <c r="Z90" i="1"/>
  <c r="AA90" i="1" s="1"/>
  <c r="T90" i="1"/>
  <c r="AB90" i="1"/>
  <c r="W90" i="1"/>
  <c r="X90" i="1" s="1"/>
  <c r="T111" i="1"/>
  <c r="Z111" i="1"/>
  <c r="AA111" i="1" s="1"/>
  <c r="W111" i="1"/>
  <c r="X111" i="1" s="1"/>
  <c r="AB111" i="1"/>
  <c r="Z119" i="1"/>
  <c r="AA119" i="1" s="1"/>
  <c r="T119" i="1"/>
  <c r="W119" i="1"/>
  <c r="X119" i="1" s="1"/>
  <c r="AB119" i="1"/>
  <c r="W120" i="1"/>
  <c r="X120" i="1" s="1"/>
  <c r="AB120" i="1"/>
  <c r="T120" i="1"/>
  <c r="Z120" i="1"/>
  <c r="AA120" i="1" s="1"/>
  <c r="W133" i="1"/>
  <c r="X133" i="1" s="1"/>
  <c r="T133" i="1"/>
  <c r="Z133" i="1"/>
  <c r="AA133" i="1" s="1"/>
  <c r="AB133" i="1"/>
  <c r="T114" i="1"/>
  <c r="W114" i="1"/>
  <c r="X114" i="1" s="1"/>
  <c r="AB114" i="1"/>
  <c r="E85" i="3"/>
  <c r="J21" i="1"/>
  <c r="T21" i="1" s="1"/>
  <c r="J29" i="1"/>
  <c r="T29" i="1" s="1"/>
  <c r="N136" i="1"/>
  <c r="X136" i="1"/>
  <c r="W85" i="1"/>
  <c r="AB85" i="1"/>
  <c r="Y85" i="1"/>
  <c r="AC85" i="1"/>
  <c r="U30" i="1"/>
  <c r="V30" i="1" s="1"/>
  <c r="AC21" i="1"/>
  <c r="Y21" i="1"/>
  <c r="Z30" i="1"/>
  <c r="AA30" i="1" s="1"/>
  <c r="AB30" i="1"/>
  <c r="W30" i="1"/>
  <c r="I136" i="1"/>
  <c r="R136" i="1"/>
  <c r="H27" i="1"/>
  <c r="R27" i="1"/>
  <c r="I194" i="1"/>
  <c r="I195" i="1" s="1"/>
  <c r="R194" i="1"/>
  <c r="U21" i="1"/>
  <c r="V21" i="1" s="1"/>
  <c r="AC30" i="1"/>
  <c r="Y30" i="1"/>
  <c r="U29" i="1"/>
  <c r="V29" i="1" s="1"/>
  <c r="W21" i="1"/>
  <c r="Z21" i="1"/>
  <c r="AA21" i="1" s="1"/>
  <c r="AB21" i="1"/>
  <c r="H57" i="1"/>
  <c r="R57" i="1"/>
  <c r="W29" i="1"/>
  <c r="Z29" i="1"/>
  <c r="AA29" i="1" s="1"/>
  <c r="AB29" i="1"/>
  <c r="U18" i="1"/>
  <c r="V18" i="1" s="1"/>
  <c r="I135" i="1"/>
  <c r="R135" i="1"/>
  <c r="J30" i="1"/>
  <c r="T30" i="1" s="1"/>
  <c r="W18" i="1"/>
  <c r="Z18" i="1"/>
  <c r="AB18" i="1"/>
  <c r="E30" i="3"/>
  <c r="L29" i="1"/>
  <c r="X29" i="1" s="1"/>
  <c r="E32" i="3"/>
  <c r="E33" i="3"/>
  <c r="L18" i="1"/>
  <c r="M30" i="1"/>
  <c r="M21" i="1"/>
  <c r="N21" i="1"/>
  <c r="N30" i="1"/>
  <c r="J85" i="1"/>
  <c r="N85" i="1"/>
  <c r="K194" i="1"/>
  <c r="M194" i="1" s="1"/>
  <c r="K135" i="1"/>
  <c r="M135" i="1" s="1"/>
  <c r="K27" i="1"/>
  <c r="L27" i="1" s="1"/>
  <c r="F195" i="1"/>
  <c r="H194" i="1"/>
  <c r="M136" i="1"/>
  <c r="H135" i="1"/>
  <c r="S135" i="1" s="1"/>
  <c r="H136" i="1"/>
  <c r="S136" i="1" s="1"/>
  <c r="L57" i="1"/>
  <c r="X57" i="1" s="1"/>
  <c r="I57" i="1"/>
  <c r="M57" i="1"/>
  <c r="I27" i="1"/>
  <c r="F127" i="1"/>
  <c r="R127" i="1" s="1"/>
  <c r="AC119" i="1" l="1"/>
  <c r="Y119" i="1"/>
  <c r="AD119" i="1"/>
  <c r="Y82" i="1"/>
  <c r="AC82" i="1"/>
  <c r="AD82" i="1"/>
  <c r="AD125" i="1"/>
  <c r="Y125" i="1"/>
  <c r="AC125" i="1"/>
  <c r="Y120" i="1"/>
  <c r="AC120" i="1"/>
  <c r="AD120" i="1"/>
  <c r="Y114" i="1"/>
  <c r="AC114" i="1"/>
  <c r="Y102" i="1"/>
  <c r="AD102" i="1"/>
  <c r="AC102" i="1"/>
  <c r="AD131" i="1"/>
  <c r="AC131" i="1"/>
  <c r="Y131" i="1"/>
  <c r="AC183" i="1"/>
  <c r="AD183" i="1"/>
  <c r="Y183" i="1"/>
  <c r="Y84" i="1"/>
  <c r="AC84" i="1"/>
  <c r="AD84" i="1"/>
  <c r="AC158" i="1"/>
  <c r="AD158" i="1"/>
  <c r="Y158" i="1"/>
  <c r="AC113" i="1"/>
  <c r="AD113" i="1"/>
  <c r="Y113" i="1"/>
  <c r="AC133" i="1"/>
  <c r="AD133" i="1"/>
  <c r="Y133" i="1"/>
  <c r="AC111" i="1"/>
  <c r="AD111" i="1"/>
  <c r="Y111" i="1"/>
  <c r="AC110" i="1"/>
  <c r="AD110" i="1"/>
  <c r="Y110" i="1"/>
  <c r="AC182" i="1"/>
  <c r="AD182" i="1"/>
  <c r="Y182" i="1"/>
  <c r="Y40" i="1"/>
  <c r="AD40" i="1"/>
  <c r="AC40" i="1"/>
  <c r="Y106" i="1"/>
  <c r="AC106" i="1"/>
  <c r="AD106" i="1"/>
  <c r="AD140" i="1"/>
  <c r="AC140" i="1"/>
  <c r="Y140" i="1"/>
  <c r="AD103" i="1"/>
  <c r="Y103" i="1"/>
  <c r="AC103" i="1"/>
  <c r="Y124" i="1"/>
  <c r="AC124" i="1"/>
  <c r="AD124" i="1"/>
  <c r="Y132" i="1"/>
  <c r="AC132" i="1"/>
  <c r="AD132" i="1"/>
  <c r="Y47" i="1"/>
  <c r="AC47" i="1"/>
  <c r="AD47" i="1"/>
  <c r="AD112" i="1"/>
  <c r="AC112" i="1"/>
  <c r="Y112" i="1"/>
  <c r="Y90" i="1"/>
  <c r="AC90" i="1"/>
  <c r="AD90" i="1"/>
  <c r="AC38" i="1"/>
  <c r="AD38" i="1"/>
  <c r="Y38" i="1"/>
  <c r="AC46" i="1"/>
  <c r="AD46" i="1"/>
  <c r="Y46" i="1"/>
  <c r="AD37" i="1"/>
  <c r="Y37" i="1"/>
  <c r="AC37" i="1"/>
  <c r="Y81" i="1"/>
  <c r="AC81" i="1"/>
  <c r="AD81" i="1"/>
  <c r="AC39" i="1"/>
  <c r="AD39" i="1"/>
  <c r="Y39" i="1"/>
  <c r="AC149" i="1"/>
  <c r="AD149" i="1"/>
  <c r="Y149" i="1"/>
  <c r="AC83" i="1"/>
  <c r="AD83" i="1"/>
  <c r="Y83" i="1"/>
  <c r="S127" i="1"/>
  <c r="U127" i="1"/>
  <c r="V127" i="1" s="1"/>
  <c r="AA18" i="1"/>
  <c r="J27" i="1"/>
  <c r="T27" i="1" s="1"/>
  <c r="S27" i="1"/>
  <c r="U136" i="1"/>
  <c r="V136" i="1" s="1"/>
  <c r="T85" i="1"/>
  <c r="AA85" i="1"/>
  <c r="U135" i="1"/>
  <c r="V135" i="1" s="1"/>
  <c r="J57" i="1"/>
  <c r="T57" i="1" s="1"/>
  <c r="S57" i="1"/>
  <c r="Y57" i="1"/>
  <c r="AC57" i="1"/>
  <c r="N29" i="1"/>
  <c r="N27" i="1"/>
  <c r="X27" i="1"/>
  <c r="Y29" i="1"/>
  <c r="AC29" i="1"/>
  <c r="U194" i="1"/>
  <c r="V194" i="1" s="1"/>
  <c r="S194" i="1"/>
  <c r="N18" i="1"/>
  <c r="X18" i="1"/>
  <c r="AB135" i="1"/>
  <c r="W135" i="1"/>
  <c r="Y136" i="1"/>
  <c r="AC136" i="1"/>
  <c r="U57" i="1"/>
  <c r="V57" i="1" s="1"/>
  <c r="W136" i="1"/>
  <c r="AB136" i="1"/>
  <c r="AD136" i="1" s="1"/>
  <c r="U27" i="1"/>
  <c r="V27" i="1" s="1"/>
  <c r="M27" i="1"/>
  <c r="E196" i="3"/>
  <c r="L194" i="1"/>
  <c r="N194" i="1" s="1"/>
  <c r="L135" i="1"/>
  <c r="E136" i="3"/>
  <c r="E28" i="3"/>
  <c r="E137" i="3"/>
  <c r="E60" i="3"/>
  <c r="J194" i="1"/>
  <c r="H195" i="1"/>
  <c r="J135" i="1"/>
  <c r="T135" i="1" s="1"/>
  <c r="J136" i="1"/>
  <c r="T136" i="1" s="1"/>
  <c r="N57" i="1"/>
  <c r="AB57" i="1" l="1"/>
  <c r="AD57" i="1" s="1"/>
  <c r="W57" i="1"/>
  <c r="Z57" i="1"/>
  <c r="AA57" i="1" s="1"/>
  <c r="Z27" i="1"/>
  <c r="AA27" i="1" s="1"/>
  <c r="AB27" i="1"/>
  <c r="W27" i="1"/>
  <c r="AC18" i="1"/>
  <c r="Y18" i="1"/>
  <c r="N135" i="1"/>
  <c r="X135" i="1"/>
  <c r="Z194" i="1"/>
  <c r="AA194" i="1" s="1"/>
  <c r="T194" i="1"/>
  <c r="W194" i="1"/>
  <c r="X194" i="1" s="1"/>
  <c r="AB194" i="1"/>
  <c r="W127" i="1"/>
  <c r="X127" i="1" s="1"/>
  <c r="AB127" i="1"/>
  <c r="T127" i="1"/>
  <c r="AC27" i="1"/>
  <c r="Y27" i="1"/>
  <c r="C114" i="2"/>
  <c r="Y127" i="1" l="1"/>
  <c r="AC127" i="1"/>
  <c r="AD127" i="1"/>
  <c r="AC194" i="1"/>
  <c r="Y194" i="1"/>
  <c r="AC135" i="1"/>
  <c r="AD135" i="1"/>
  <c r="Y135" i="1"/>
  <c r="F164" i="1" l="1"/>
  <c r="I164" i="1" s="1"/>
  <c r="H164" i="1" l="1"/>
  <c r="F148" i="1"/>
  <c r="R148" i="1" s="1"/>
  <c r="P164" i="1" l="1"/>
  <c r="S164" i="1"/>
  <c r="U148" i="1"/>
  <c r="V148" i="1" s="1"/>
  <c r="J164" i="1"/>
  <c r="T164" i="1" s="1"/>
  <c r="C4" i="2"/>
  <c r="F19" i="1"/>
  <c r="P19" i="1" l="1"/>
  <c r="R19" i="1"/>
  <c r="W164" i="1"/>
  <c r="AB164" i="1"/>
  <c r="H19" i="1"/>
  <c r="S19" i="1" s="1"/>
  <c r="I19" i="1"/>
  <c r="H64" i="1"/>
  <c r="I64" i="1"/>
  <c r="F99" i="1"/>
  <c r="C83" i="2"/>
  <c r="W19" i="1" l="1"/>
  <c r="AB19" i="1"/>
  <c r="U19" i="1"/>
  <c r="V19" i="1" s="1"/>
  <c r="J64" i="1"/>
  <c r="P64" i="1"/>
  <c r="E100" i="3"/>
  <c r="I99" i="1"/>
  <c r="J19" i="1"/>
  <c r="T19" i="1" s="1"/>
  <c r="H99" i="1"/>
  <c r="P99" i="1" s="1"/>
  <c r="J99" i="1" l="1"/>
  <c r="T99" i="1" s="1"/>
  <c r="K10" i="8" l="1"/>
  <c r="K16" i="8"/>
  <c r="K18" i="8"/>
  <c r="K24" i="8"/>
  <c r="K26" i="8"/>
  <c r="K28" i="8"/>
  <c r="K32" i="8"/>
  <c r="K34" i="8"/>
  <c r="K36" i="8"/>
  <c r="K40" i="8"/>
  <c r="K42" i="8"/>
  <c r="K44" i="8"/>
  <c r="K48" i="8"/>
  <c r="K50" i="8"/>
  <c r="K52" i="8"/>
  <c r="K56" i="8"/>
  <c r="K58" i="8"/>
  <c r="K60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2" i="8"/>
  <c r="I10" i="8"/>
  <c r="I18" i="8"/>
  <c r="I34" i="8"/>
  <c r="H3" i="8"/>
  <c r="I3" i="8" s="1"/>
  <c r="H60" i="8"/>
  <c r="I60" i="8" s="1"/>
  <c r="H59" i="8"/>
  <c r="I59" i="8" s="1"/>
  <c r="H58" i="8"/>
  <c r="I58" i="8" s="1"/>
  <c r="H57" i="8"/>
  <c r="I57" i="8" s="1"/>
  <c r="H56" i="8"/>
  <c r="I56" i="8" s="1"/>
  <c r="H55" i="8"/>
  <c r="I55" i="8" s="1"/>
  <c r="H54" i="8"/>
  <c r="I54" i="8" s="1"/>
  <c r="H53" i="8"/>
  <c r="I53" i="8" s="1"/>
  <c r="H52" i="8"/>
  <c r="I52" i="8" s="1"/>
  <c r="H51" i="8"/>
  <c r="I51" i="8" s="1"/>
  <c r="H50" i="8"/>
  <c r="I50" i="8" s="1"/>
  <c r="H49" i="8"/>
  <c r="I49" i="8" s="1"/>
  <c r="H48" i="8"/>
  <c r="I48" i="8" s="1"/>
  <c r="H47" i="8"/>
  <c r="I47" i="8" s="1"/>
  <c r="H46" i="8"/>
  <c r="I46" i="8" s="1"/>
  <c r="H45" i="8"/>
  <c r="I45" i="8" s="1"/>
  <c r="H44" i="8"/>
  <c r="I44" i="8" s="1"/>
  <c r="H43" i="8"/>
  <c r="I43" i="8" s="1"/>
  <c r="H42" i="8"/>
  <c r="I42" i="8" s="1"/>
  <c r="H41" i="8"/>
  <c r="I41" i="8" s="1"/>
  <c r="H40" i="8"/>
  <c r="I40" i="8" s="1"/>
  <c r="H39" i="8"/>
  <c r="I39" i="8" s="1"/>
  <c r="H38" i="8"/>
  <c r="I38" i="8" s="1"/>
  <c r="H37" i="8"/>
  <c r="I37" i="8" s="1"/>
  <c r="H36" i="8"/>
  <c r="I36" i="8" s="1"/>
  <c r="H35" i="8"/>
  <c r="I35" i="8" s="1"/>
  <c r="H34" i="8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8" i="8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H9" i="8"/>
  <c r="I9" i="8" s="1"/>
  <c r="H8" i="8"/>
  <c r="I8" i="8" s="1"/>
  <c r="H7" i="8"/>
  <c r="I7" i="8" s="1"/>
  <c r="H6" i="8"/>
  <c r="I6" i="8" s="1"/>
  <c r="H5" i="8"/>
  <c r="I5" i="8" s="1"/>
  <c r="H4" i="8"/>
  <c r="I4" i="8" s="1"/>
  <c r="H2" i="8"/>
  <c r="I2" i="8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2" i="8"/>
  <c r="F20" i="1"/>
  <c r="R20" i="1" s="1"/>
  <c r="U20" i="1" l="1"/>
  <c r="V20" i="1" s="1"/>
  <c r="H20" i="1"/>
  <c r="K57" i="8"/>
  <c r="K49" i="8"/>
  <c r="K41" i="8"/>
  <c r="K33" i="8"/>
  <c r="K25" i="8"/>
  <c r="K17" i="8"/>
  <c r="K9" i="8"/>
  <c r="K8" i="8"/>
  <c r="K55" i="8"/>
  <c r="K47" i="8"/>
  <c r="K39" i="8"/>
  <c r="K31" i="8"/>
  <c r="K23" i="8"/>
  <c r="K15" i="8"/>
  <c r="K7" i="8"/>
  <c r="K54" i="8"/>
  <c r="K46" i="8"/>
  <c r="K38" i="8"/>
  <c r="K30" i="8"/>
  <c r="K22" i="8"/>
  <c r="K14" i="8"/>
  <c r="K6" i="8"/>
  <c r="K2" i="8"/>
  <c r="K53" i="8"/>
  <c r="K45" i="8"/>
  <c r="K37" i="8"/>
  <c r="K29" i="8"/>
  <c r="K21" i="8"/>
  <c r="K13" i="8"/>
  <c r="K5" i="8"/>
  <c r="K20" i="8"/>
  <c r="K12" i="8"/>
  <c r="K4" i="8"/>
  <c r="K59" i="8"/>
  <c r="K51" i="8"/>
  <c r="K43" i="8"/>
  <c r="K35" i="8"/>
  <c r="K27" i="8"/>
  <c r="K19" i="8"/>
  <c r="K11" i="8"/>
  <c r="K3" i="8"/>
  <c r="F158" i="1"/>
  <c r="C143" i="2"/>
  <c r="S20" i="1" l="1"/>
  <c r="P20" i="1"/>
  <c r="H158" i="1"/>
  <c r="P158" i="1" s="1"/>
  <c r="I158" i="1"/>
  <c r="F151" i="1"/>
  <c r="R151" i="1" s="1"/>
  <c r="F149" i="1"/>
  <c r="U151" i="1" l="1"/>
  <c r="V151" i="1" s="1"/>
  <c r="Z20" i="1"/>
  <c r="AB20" i="1"/>
  <c r="W20" i="1"/>
  <c r="J158" i="1"/>
  <c r="I151" i="1"/>
  <c r="I148" i="1"/>
  <c r="I149" i="1"/>
  <c r="F188" i="1"/>
  <c r="R188" i="1" s="1"/>
  <c r="F189" i="1"/>
  <c r="R189" i="1" s="1"/>
  <c r="F190" i="1"/>
  <c r="R190" i="1" s="1"/>
  <c r="F191" i="1"/>
  <c r="R191" i="1" s="1"/>
  <c r="F192" i="1"/>
  <c r="R192" i="1" s="1"/>
  <c r="F187" i="1"/>
  <c r="R187" i="1" s="1"/>
  <c r="F185" i="1"/>
  <c r="R185" i="1" s="1"/>
  <c r="F178" i="1"/>
  <c r="R178" i="1" s="1"/>
  <c r="F179" i="1"/>
  <c r="R179" i="1" s="1"/>
  <c r="F180" i="1"/>
  <c r="R180" i="1" s="1"/>
  <c r="F182" i="1"/>
  <c r="F183" i="1"/>
  <c r="F177" i="1"/>
  <c r="R177" i="1" s="1"/>
  <c r="F172" i="1"/>
  <c r="R172" i="1" s="1"/>
  <c r="F173" i="1"/>
  <c r="R173" i="1" s="1"/>
  <c r="F174" i="1"/>
  <c r="R174" i="1" s="1"/>
  <c r="F175" i="1"/>
  <c r="R175" i="1" s="1"/>
  <c r="F171" i="1"/>
  <c r="R171" i="1" s="1"/>
  <c r="F167" i="1"/>
  <c r="R167" i="1" s="1"/>
  <c r="F168" i="1"/>
  <c r="F169" i="1"/>
  <c r="F166" i="1"/>
  <c r="R166" i="1" s="1"/>
  <c r="F162" i="1"/>
  <c r="R162" i="1" s="1"/>
  <c r="F163" i="1"/>
  <c r="F161" i="1"/>
  <c r="R161" i="1" s="1"/>
  <c r="F159" i="1"/>
  <c r="R159" i="1" s="1"/>
  <c r="F157" i="1"/>
  <c r="R157" i="1" s="1"/>
  <c r="F154" i="1"/>
  <c r="R154" i="1" s="1"/>
  <c r="F155" i="1"/>
  <c r="R155" i="1" s="1"/>
  <c r="F153" i="1"/>
  <c r="R153" i="1" s="1"/>
  <c r="F128" i="1"/>
  <c r="R128" i="1" s="1"/>
  <c r="F129" i="1"/>
  <c r="R129" i="1" s="1"/>
  <c r="F117" i="1"/>
  <c r="R117" i="1" s="1"/>
  <c r="F118" i="1"/>
  <c r="R118" i="1" s="1"/>
  <c r="F119" i="1"/>
  <c r="F116" i="1"/>
  <c r="R116" i="1" s="1"/>
  <c r="F104" i="1"/>
  <c r="R104" i="1" s="1"/>
  <c r="R108" i="1"/>
  <c r="F101" i="1"/>
  <c r="R101" i="1" s="1"/>
  <c r="F88" i="1"/>
  <c r="R88" i="1" s="1"/>
  <c r="F89" i="1"/>
  <c r="R89" i="1" s="1"/>
  <c r="F91" i="1"/>
  <c r="R91" i="1" s="1"/>
  <c r="F92" i="1"/>
  <c r="R92" i="1" s="1"/>
  <c r="F93" i="1"/>
  <c r="R93" i="1" s="1"/>
  <c r="F94" i="1"/>
  <c r="R94" i="1" s="1"/>
  <c r="F95" i="1"/>
  <c r="R95" i="1" s="1"/>
  <c r="F96" i="1"/>
  <c r="R96" i="1" s="1"/>
  <c r="F97" i="1"/>
  <c r="R97" i="1" s="1"/>
  <c r="F98" i="1"/>
  <c r="R98" i="1" s="1"/>
  <c r="F87" i="1"/>
  <c r="R87" i="1" s="1"/>
  <c r="F82" i="1"/>
  <c r="F83" i="1"/>
  <c r="F79" i="1"/>
  <c r="R79" i="1" s="1"/>
  <c r="F78" i="1"/>
  <c r="R78" i="1" s="1"/>
  <c r="F70" i="1"/>
  <c r="R70" i="1" s="1"/>
  <c r="F71" i="1"/>
  <c r="R71" i="1" s="1"/>
  <c r="F72" i="1"/>
  <c r="R72" i="1" s="1"/>
  <c r="F73" i="1"/>
  <c r="R73" i="1" s="1"/>
  <c r="F74" i="1"/>
  <c r="R74" i="1" s="1"/>
  <c r="F75" i="1"/>
  <c r="R75" i="1" s="1"/>
  <c r="F76" i="1"/>
  <c r="R76" i="1" s="1"/>
  <c r="F69" i="1"/>
  <c r="R69" i="1" s="1"/>
  <c r="F60" i="1"/>
  <c r="R60" i="1" s="1"/>
  <c r="F61" i="1"/>
  <c r="R61" i="1" s="1"/>
  <c r="F62" i="1"/>
  <c r="R62" i="1" s="1"/>
  <c r="F63" i="1"/>
  <c r="R63" i="1" s="1"/>
  <c r="F65" i="1"/>
  <c r="R65" i="1" s="1"/>
  <c r="F66" i="1"/>
  <c r="R66" i="1" s="1"/>
  <c r="F67" i="1"/>
  <c r="R67" i="1" s="1"/>
  <c r="F59" i="1"/>
  <c r="R59" i="1" s="1"/>
  <c r="F56" i="1"/>
  <c r="R56" i="1" s="1"/>
  <c r="F55" i="1"/>
  <c r="R55" i="1" s="1"/>
  <c r="F52" i="1"/>
  <c r="R52" i="1" s="1"/>
  <c r="F53" i="1"/>
  <c r="R53" i="1" s="1"/>
  <c r="F51" i="1"/>
  <c r="R51" i="1" s="1"/>
  <c r="F43" i="1"/>
  <c r="R43" i="1" s="1"/>
  <c r="F44" i="1"/>
  <c r="R44" i="1" s="1"/>
  <c r="F45" i="1"/>
  <c r="R45" i="1" s="1"/>
  <c r="F46" i="1"/>
  <c r="F48" i="1"/>
  <c r="R48" i="1" s="1"/>
  <c r="F49" i="1"/>
  <c r="R49" i="1" s="1"/>
  <c r="F42" i="1"/>
  <c r="R42" i="1" s="1"/>
  <c r="F33" i="1"/>
  <c r="R33" i="1" s="1"/>
  <c r="F35" i="1"/>
  <c r="R35" i="1" s="1"/>
  <c r="F36" i="1"/>
  <c r="R36" i="1" s="1"/>
  <c r="F32" i="1"/>
  <c r="R32" i="1" s="1"/>
  <c r="F22" i="1"/>
  <c r="R22" i="1" s="1"/>
  <c r="F23" i="1"/>
  <c r="R23" i="1" s="1"/>
  <c r="F24" i="1"/>
  <c r="R24" i="1" s="1"/>
  <c r="F25" i="1"/>
  <c r="R25" i="1" s="1"/>
  <c r="F26" i="1"/>
  <c r="R26" i="1" s="1"/>
  <c r="U24" i="1" l="1"/>
  <c r="V24" i="1" s="1"/>
  <c r="U104" i="1"/>
  <c r="V104" i="1" s="1"/>
  <c r="U129" i="1"/>
  <c r="V129" i="1" s="1"/>
  <c r="U162" i="1"/>
  <c r="V162" i="1" s="1"/>
  <c r="U173" i="1"/>
  <c r="V173" i="1" s="1"/>
  <c r="U185" i="1"/>
  <c r="V185" i="1" s="1"/>
  <c r="Z185" i="1"/>
  <c r="U45" i="1"/>
  <c r="V45" i="1" s="1"/>
  <c r="U128" i="1"/>
  <c r="V128" i="1" s="1"/>
  <c r="U153" i="1"/>
  <c r="V153" i="1" s="1"/>
  <c r="U166" i="1"/>
  <c r="V166" i="1" s="1"/>
  <c r="U172" i="1"/>
  <c r="V172" i="1" s="1"/>
  <c r="U187" i="1"/>
  <c r="V187" i="1" s="1"/>
  <c r="S187" i="1"/>
  <c r="AA19" i="1"/>
  <c r="S98" i="1"/>
  <c r="U98" i="1"/>
  <c r="V98" i="1" s="1"/>
  <c r="S67" i="1"/>
  <c r="U67" i="1"/>
  <c r="V67" i="1" s="1"/>
  <c r="U177" i="1"/>
  <c r="V177" i="1" s="1"/>
  <c r="S192" i="1"/>
  <c r="U192" i="1"/>
  <c r="V192" i="1" s="1"/>
  <c r="U91" i="1"/>
  <c r="V91" i="1" s="1"/>
  <c r="U69" i="1"/>
  <c r="V69" i="1" s="1"/>
  <c r="S69" i="1"/>
  <c r="U79" i="1"/>
  <c r="V79" i="1" s="1"/>
  <c r="U32" i="1"/>
  <c r="V32" i="1" s="1"/>
  <c r="S75" i="1"/>
  <c r="U75" i="1"/>
  <c r="V75" i="1" s="1"/>
  <c r="U154" i="1"/>
  <c r="V154" i="1" s="1"/>
  <c r="S191" i="1"/>
  <c r="U191" i="1"/>
  <c r="V191" i="1" s="1"/>
  <c r="U36" i="1"/>
  <c r="V36" i="1" s="1"/>
  <c r="S70" i="1"/>
  <c r="U70" i="1"/>
  <c r="V70" i="1" s="1"/>
  <c r="U35" i="1"/>
  <c r="V35" i="1" s="1"/>
  <c r="U78" i="1"/>
  <c r="V78" i="1" s="1"/>
  <c r="U44" i="1"/>
  <c r="V44" i="1" s="1"/>
  <c r="U96" i="1"/>
  <c r="V96" i="1" s="1"/>
  <c r="U155" i="1"/>
  <c r="V155" i="1" s="1"/>
  <c r="U43" i="1"/>
  <c r="V43" i="1" s="1"/>
  <c r="S66" i="1"/>
  <c r="U66" i="1"/>
  <c r="V66" i="1" s="1"/>
  <c r="U88" i="1"/>
  <c r="V88" i="1" s="1"/>
  <c r="S88" i="1"/>
  <c r="U42" i="1"/>
  <c r="V42" i="1" s="1"/>
  <c r="U51" i="1"/>
  <c r="V51" i="1" s="1"/>
  <c r="S65" i="1"/>
  <c r="U65" i="1"/>
  <c r="V65" i="1" s="1"/>
  <c r="S74" i="1"/>
  <c r="U74" i="1"/>
  <c r="V74" i="1" s="1"/>
  <c r="U94" i="1"/>
  <c r="V94" i="1" s="1"/>
  <c r="U101" i="1"/>
  <c r="V101" i="1" s="1"/>
  <c r="U157" i="1"/>
  <c r="V157" i="1" s="1"/>
  <c r="U167" i="1"/>
  <c r="V167" i="1" s="1"/>
  <c r="S190" i="1"/>
  <c r="U190" i="1"/>
  <c r="V190" i="1" s="1"/>
  <c r="U25" i="1"/>
  <c r="V25" i="1" s="1"/>
  <c r="S60" i="1"/>
  <c r="U60" i="1"/>
  <c r="V60" i="1" s="1"/>
  <c r="S23" i="1"/>
  <c r="U23" i="1"/>
  <c r="V23" i="1" s="1"/>
  <c r="U59" i="1"/>
  <c r="V59" i="1" s="1"/>
  <c r="S59" i="1"/>
  <c r="U22" i="1"/>
  <c r="V22" i="1" s="1"/>
  <c r="S76" i="1"/>
  <c r="U76" i="1"/>
  <c r="V76" i="1" s="1"/>
  <c r="S89" i="1"/>
  <c r="U89" i="1"/>
  <c r="V89" i="1" s="1"/>
  <c r="U33" i="1"/>
  <c r="V33" i="1" s="1"/>
  <c r="U95" i="1"/>
  <c r="V95" i="1" s="1"/>
  <c r="U49" i="1"/>
  <c r="V49" i="1" s="1"/>
  <c r="U53" i="1"/>
  <c r="V53" i="1" s="1"/>
  <c r="U63" i="1"/>
  <c r="V63" i="1" s="1"/>
  <c r="S63" i="1"/>
  <c r="U73" i="1"/>
  <c r="V73" i="1" s="1"/>
  <c r="S73" i="1"/>
  <c r="U93" i="1"/>
  <c r="V93" i="1" s="1"/>
  <c r="S108" i="1"/>
  <c r="U108" i="1"/>
  <c r="V108" i="1" s="1"/>
  <c r="U159" i="1"/>
  <c r="V159" i="1" s="1"/>
  <c r="U171" i="1"/>
  <c r="V171" i="1" s="1"/>
  <c r="U180" i="1"/>
  <c r="V180" i="1" s="1"/>
  <c r="S189" i="1"/>
  <c r="U189" i="1"/>
  <c r="V189" i="1" s="1"/>
  <c r="U56" i="1"/>
  <c r="V56" i="1" s="1"/>
  <c r="U97" i="1"/>
  <c r="V97" i="1" s="1"/>
  <c r="U26" i="1"/>
  <c r="V26" i="1" s="1"/>
  <c r="U48" i="1"/>
  <c r="V48" i="1" s="1"/>
  <c r="U52" i="1"/>
  <c r="V52" i="1" s="1"/>
  <c r="S62" i="1"/>
  <c r="U62" i="1"/>
  <c r="V62" i="1" s="1"/>
  <c r="S72" i="1"/>
  <c r="U72" i="1"/>
  <c r="V72" i="1" s="1"/>
  <c r="U118" i="1"/>
  <c r="V118" i="1" s="1"/>
  <c r="U161" i="1"/>
  <c r="V161" i="1" s="1"/>
  <c r="U175" i="1"/>
  <c r="V175" i="1" s="1"/>
  <c r="U179" i="1"/>
  <c r="V179" i="1" s="1"/>
  <c r="S188" i="1"/>
  <c r="U188" i="1"/>
  <c r="V188" i="1" s="1"/>
  <c r="U55" i="1"/>
  <c r="V55" i="1" s="1"/>
  <c r="S61" i="1"/>
  <c r="U61" i="1"/>
  <c r="V61" i="1" s="1"/>
  <c r="S71" i="1"/>
  <c r="U71" i="1"/>
  <c r="V71" i="1" s="1"/>
  <c r="U87" i="1"/>
  <c r="V87" i="1" s="1"/>
  <c r="U92" i="1"/>
  <c r="V92" i="1" s="1"/>
  <c r="U116" i="1"/>
  <c r="V116" i="1" s="1"/>
  <c r="U117" i="1"/>
  <c r="V117" i="1" s="1"/>
  <c r="U174" i="1"/>
  <c r="V174" i="1" s="1"/>
  <c r="U178" i="1"/>
  <c r="V178" i="1" s="1"/>
  <c r="I83" i="1"/>
  <c r="I98" i="1"/>
  <c r="I119" i="1"/>
  <c r="I73" i="1"/>
  <c r="I62" i="1"/>
  <c r="I61" i="1"/>
  <c r="I71" i="1"/>
  <c r="I192" i="1"/>
  <c r="I65" i="1"/>
  <c r="I72" i="1"/>
  <c r="I60" i="1"/>
  <c r="I70" i="1"/>
  <c r="I191" i="1"/>
  <c r="I59" i="1"/>
  <c r="I69" i="1"/>
  <c r="I190" i="1"/>
  <c r="I74" i="1"/>
  <c r="I187" i="1"/>
  <c r="I67" i="1"/>
  <c r="I76" i="1"/>
  <c r="I189" i="1"/>
  <c r="I63" i="1"/>
  <c r="I66" i="1"/>
  <c r="I75" i="1"/>
  <c r="I188" i="1"/>
  <c r="I89" i="1"/>
  <c r="I82" i="1"/>
  <c r="I36" i="1"/>
  <c r="I183" i="1"/>
  <c r="I182" i="1"/>
  <c r="I163" i="1"/>
  <c r="I159" i="1"/>
  <c r="I25" i="1"/>
  <c r="I171" i="1"/>
  <c r="I129" i="1"/>
  <c r="I55" i="1"/>
  <c r="I95" i="1"/>
  <c r="I88" i="1"/>
  <c r="I128" i="1"/>
  <c r="I174" i="1"/>
  <c r="I179" i="1"/>
  <c r="I26" i="1"/>
  <c r="I97" i="1"/>
  <c r="I52" i="1"/>
  <c r="I46" i="1"/>
  <c r="I56" i="1"/>
  <c r="I94" i="1"/>
  <c r="I101" i="1"/>
  <c r="I153" i="1"/>
  <c r="I162" i="1"/>
  <c r="I173" i="1"/>
  <c r="I178" i="1"/>
  <c r="I91" i="1"/>
  <c r="I116" i="1"/>
  <c r="I167" i="1"/>
  <c r="I104" i="1"/>
  <c r="I161" i="1"/>
  <c r="I24" i="1"/>
  <c r="I23" i="1"/>
  <c r="I35" i="1"/>
  <c r="I20" i="1"/>
  <c r="I45" i="1"/>
  <c r="I93" i="1"/>
  <c r="I155" i="1"/>
  <c r="I166" i="1"/>
  <c r="I172" i="1"/>
  <c r="I185" i="1"/>
  <c r="I51" i="1"/>
  <c r="I49" i="1"/>
  <c r="I78" i="1"/>
  <c r="I127" i="1"/>
  <c r="I96" i="1"/>
  <c r="I180" i="1"/>
  <c r="I32" i="1"/>
  <c r="I44" i="1"/>
  <c r="I108" i="1"/>
  <c r="I154" i="1"/>
  <c r="I169" i="1"/>
  <c r="I177" i="1"/>
  <c r="I42" i="1"/>
  <c r="I117" i="1"/>
  <c r="I53" i="1"/>
  <c r="I48" i="1"/>
  <c r="I79" i="1"/>
  <c r="I175" i="1"/>
  <c r="I33" i="1"/>
  <c r="I43" i="1"/>
  <c r="I87" i="1"/>
  <c r="I92" i="1"/>
  <c r="I118" i="1"/>
  <c r="I157" i="1"/>
  <c r="I168" i="1"/>
  <c r="H22" i="1"/>
  <c r="I22" i="1"/>
  <c r="H23" i="1"/>
  <c r="P23" i="1" s="1"/>
  <c r="T65" i="1" l="1"/>
  <c r="W65" i="1"/>
  <c r="X65" i="1" s="1"/>
  <c r="Z65" i="1"/>
  <c r="AA65" i="1" s="1"/>
  <c r="AB65" i="1"/>
  <c r="Z191" i="1"/>
  <c r="AA191" i="1" s="1"/>
  <c r="T191" i="1"/>
  <c r="AB191" i="1"/>
  <c r="W191" i="1"/>
  <c r="X191" i="1" s="1"/>
  <c r="Z67" i="1"/>
  <c r="AA67" i="1" s="1"/>
  <c r="AB67" i="1"/>
  <c r="T67" i="1"/>
  <c r="W67" i="1"/>
  <c r="X67" i="1" s="1"/>
  <c r="P22" i="1"/>
  <c r="S22" i="1"/>
  <c r="T63" i="1"/>
  <c r="AB63" i="1"/>
  <c r="W63" i="1"/>
  <c r="X63" i="1" s="1"/>
  <c r="Z63" i="1"/>
  <c r="AA63" i="1" s="1"/>
  <c r="Z76" i="1"/>
  <c r="AB76" i="1"/>
  <c r="T76" i="1"/>
  <c r="W76" i="1"/>
  <c r="X76" i="1" s="1"/>
  <c r="Z23" i="1"/>
  <c r="T23" i="1"/>
  <c r="AB23" i="1"/>
  <c r="W23" i="1"/>
  <c r="X23" i="1" s="1"/>
  <c r="W190" i="1"/>
  <c r="X190" i="1" s="1"/>
  <c r="Z190" i="1"/>
  <c r="AA190" i="1" s="1"/>
  <c r="AB190" i="1"/>
  <c r="T190" i="1"/>
  <c r="Z192" i="1"/>
  <c r="AA192" i="1" s="1"/>
  <c r="W192" i="1"/>
  <c r="X192" i="1" s="1"/>
  <c r="T192" i="1"/>
  <c r="AB192" i="1"/>
  <c r="T188" i="1"/>
  <c r="W188" i="1"/>
  <c r="X188" i="1" s="1"/>
  <c r="AB188" i="1"/>
  <c r="Z188" i="1"/>
  <c r="AA188" i="1" s="1"/>
  <c r="T108" i="1"/>
  <c r="W108" i="1"/>
  <c r="X108" i="1" s="1"/>
  <c r="AB108" i="1"/>
  <c r="W66" i="1"/>
  <c r="X66" i="1" s="1"/>
  <c r="Z66" i="1"/>
  <c r="AA66" i="1" s="1"/>
  <c r="T66" i="1"/>
  <c r="AB66" i="1"/>
  <c r="AB70" i="1"/>
  <c r="T70" i="1"/>
  <c r="W70" i="1"/>
  <c r="X70" i="1" s="1"/>
  <c r="Z70" i="1"/>
  <c r="T69" i="1"/>
  <c r="W69" i="1"/>
  <c r="X69" i="1" s="1"/>
  <c r="Z69" i="1"/>
  <c r="AB69" i="1"/>
  <c r="Z98" i="1"/>
  <c r="AA98" i="1" s="1"/>
  <c r="T98" i="1"/>
  <c r="AB98" i="1"/>
  <c r="W98" i="1"/>
  <c r="X98" i="1" s="1"/>
  <c r="T62" i="1"/>
  <c r="W62" i="1"/>
  <c r="X62" i="1" s="1"/>
  <c r="Z62" i="1"/>
  <c r="AA62" i="1" s="1"/>
  <c r="AB62" i="1"/>
  <c r="W71" i="1"/>
  <c r="X71" i="1" s="1"/>
  <c r="Z71" i="1"/>
  <c r="AB71" i="1"/>
  <c r="T71" i="1"/>
  <c r="Z60" i="1"/>
  <c r="AA60" i="1" s="1"/>
  <c r="T60" i="1"/>
  <c r="AB60" i="1"/>
  <c r="W60" i="1"/>
  <c r="X60" i="1" s="1"/>
  <c r="W74" i="1"/>
  <c r="X74" i="1" s="1"/>
  <c r="Z74" i="1"/>
  <c r="AB74" i="1"/>
  <c r="T74" i="1"/>
  <c r="Z75" i="1"/>
  <c r="AB75" i="1"/>
  <c r="T75" i="1"/>
  <c r="W75" i="1"/>
  <c r="X75" i="1" s="1"/>
  <c r="Z72" i="1"/>
  <c r="AB72" i="1"/>
  <c r="T72" i="1"/>
  <c r="W72" i="1"/>
  <c r="X72" i="1" s="1"/>
  <c r="W189" i="1"/>
  <c r="X189" i="1" s="1"/>
  <c r="AB189" i="1"/>
  <c r="Z189" i="1"/>
  <c r="AA189" i="1" s="1"/>
  <c r="T189" i="1"/>
  <c r="T73" i="1"/>
  <c r="W73" i="1"/>
  <c r="X73" i="1" s="1"/>
  <c r="Z73" i="1"/>
  <c r="AB73" i="1"/>
  <c r="W89" i="1"/>
  <c r="X89" i="1" s="1"/>
  <c r="Z89" i="1"/>
  <c r="AA89" i="1" s="1"/>
  <c r="T89" i="1"/>
  <c r="AB89" i="1"/>
  <c r="W59" i="1"/>
  <c r="X59" i="1" s="1"/>
  <c r="Z59" i="1"/>
  <c r="AA59" i="1" s="1"/>
  <c r="AB59" i="1"/>
  <c r="T59" i="1"/>
  <c r="T88" i="1"/>
  <c r="W88" i="1"/>
  <c r="X88" i="1" s="1"/>
  <c r="AB88" i="1"/>
  <c r="W187" i="1"/>
  <c r="X187" i="1" s="1"/>
  <c r="Z187" i="1"/>
  <c r="AA187" i="1" s="1"/>
  <c r="AB187" i="1"/>
  <c r="T187" i="1"/>
  <c r="W61" i="1"/>
  <c r="X61" i="1" s="1"/>
  <c r="Z61" i="1"/>
  <c r="AA61" i="1" s="1"/>
  <c r="T61" i="1"/>
  <c r="AB61" i="1"/>
  <c r="J23" i="1"/>
  <c r="Y98" i="1" l="1"/>
  <c r="AC98" i="1"/>
  <c r="AD98" i="1"/>
  <c r="AC61" i="1"/>
  <c r="Y61" i="1"/>
  <c r="AD61" i="1"/>
  <c r="Y89" i="1"/>
  <c r="AC89" i="1"/>
  <c r="AD89" i="1"/>
  <c r="Y190" i="1"/>
  <c r="AD190" i="1"/>
  <c r="AC190" i="1"/>
  <c r="AC72" i="1"/>
  <c r="AD72" i="1"/>
  <c r="Y72" i="1"/>
  <c r="Y67" i="1"/>
  <c r="AC67" i="1"/>
  <c r="AD67" i="1"/>
  <c r="AC73" i="1"/>
  <c r="AD73" i="1"/>
  <c r="Y73" i="1"/>
  <c r="AC192" i="1"/>
  <c r="AD192" i="1"/>
  <c r="Y192" i="1"/>
  <c r="AD65" i="1"/>
  <c r="Y65" i="1"/>
  <c r="AC65" i="1"/>
  <c r="Y71" i="1"/>
  <c r="AC71" i="1"/>
  <c r="AD71" i="1"/>
  <c r="Y69" i="1"/>
  <c r="AC69" i="1"/>
  <c r="AD69" i="1"/>
  <c r="Y23" i="1"/>
  <c r="AC23" i="1"/>
  <c r="AD23" i="1"/>
  <c r="AC59" i="1"/>
  <c r="Y59" i="1"/>
  <c r="AD59" i="1"/>
  <c r="AC62" i="1"/>
  <c r="AD62" i="1"/>
  <c r="Y62" i="1"/>
  <c r="AC76" i="1"/>
  <c r="AD76" i="1"/>
  <c r="Y76" i="1"/>
  <c r="Y66" i="1"/>
  <c r="AC66" i="1"/>
  <c r="AD66" i="1"/>
  <c r="Y191" i="1"/>
  <c r="AC191" i="1"/>
  <c r="AD191" i="1"/>
  <c r="AD188" i="1"/>
  <c r="AC188" i="1"/>
  <c r="Y188" i="1"/>
  <c r="Y63" i="1"/>
  <c r="AD63" i="1"/>
  <c r="AC63" i="1"/>
  <c r="AD60" i="1"/>
  <c r="Y60" i="1"/>
  <c r="AC60" i="1"/>
  <c r="AC70" i="1"/>
  <c r="AD70" i="1"/>
  <c r="Y70" i="1"/>
  <c r="AA23" i="1"/>
  <c r="AA22" i="1"/>
  <c r="AC187" i="1"/>
  <c r="AD187" i="1"/>
  <c r="Y187" i="1"/>
  <c r="AD108" i="1"/>
  <c r="AC108" i="1"/>
  <c r="Y108" i="1"/>
  <c r="Y189" i="1"/>
  <c r="AD189" i="1"/>
  <c r="AC189" i="1"/>
  <c r="Y74" i="1"/>
  <c r="AC74" i="1"/>
  <c r="AD74" i="1"/>
  <c r="W22" i="1"/>
  <c r="Z22" i="1"/>
  <c r="AB22" i="1"/>
  <c r="AD88" i="1"/>
  <c r="Y88" i="1"/>
  <c r="AC88" i="1"/>
  <c r="Y75" i="1"/>
  <c r="AC75" i="1"/>
  <c r="AD75" i="1"/>
  <c r="K19" i="1"/>
  <c r="Q19" i="1" s="1"/>
  <c r="C134" i="2"/>
  <c r="AA20" i="1" l="1"/>
  <c r="E21" i="3"/>
  <c r="L19" i="1"/>
  <c r="X19" i="1" s="1"/>
  <c r="M19" i="1"/>
  <c r="C133" i="2"/>
  <c r="C92" i="2"/>
  <c r="Y19" i="1" l="1"/>
  <c r="AC19" i="1"/>
  <c r="AD19" i="1"/>
  <c r="N19" i="1"/>
  <c r="C113" i="2"/>
  <c r="C165" i="2"/>
  <c r="C168" i="2"/>
  <c r="E129" i="3" l="1"/>
  <c r="H128" i="1"/>
  <c r="C167" i="2"/>
  <c r="H183" i="1"/>
  <c r="P183" i="1" s="1"/>
  <c r="S128" i="1" l="1"/>
  <c r="P128" i="1"/>
  <c r="J183" i="1"/>
  <c r="AA183" i="1" s="1"/>
  <c r="J128" i="1"/>
  <c r="H182" i="1"/>
  <c r="P182" i="1" s="1"/>
  <c r="T128" i="1" l="1"/>
  <c r="AA128" i="1"/>
  <c r="AB128" i="1"/>
  <c r="W128" i="1"/>
  <c r="J182" i="1"/>
  <c r="AA182" i="1" s="1"/>
  <c r="C19" i="2"/>
  <c r="C21" i="2"/>
  <c r="C22" i="2"/>
  <c r="C18" i="2"/>
  <c r="C37" i="2"/>
  <c r="C59" i="2"/>
  <c r="C57" i="2"/>
  <c r="C51" i="2"/>
  <c r="C49" i="2"/>
  <c r="C46" i="2"/>
  <c r="C44" i="2"/>
  <c r="C5" i="2"/>
  <c r="C6" i="2"/>
  <c r="C7" i="2"/>
  <c r="K36" i="1" l="1"/>
  <c r="K20" i="1"/>
  <c r="Q20" i="1" s="1"/>
  <c r="H36" i="1"/>
  <c r="H35" i="1"/>
  <c r="H25" i="1"/>
  <c r="H24" i="1"/>
  <c r="H32" i="1"/>
  <c r="H26" i="1"/>
  <c r="H33" i="1"/>
  <c r="H61" i="1"/>
  <c r="P61" i="1" s="1"/>
  <c r="H69" i="1"/>
  <c r="P69" i="1" s="1"/>
  <c r="H66" i="1"/>
  <c r="P66" i="1" s="1"/>
  <c r="H59" i="1"/>
  <c r="P59" i="1" s="1"/>
  <c r="H73" i="1"/>
  <c r="P73" i="1" s="1"/>
  <c r="H75" i="1"/>
  <c r="P75" i="1" s="1"/>
  <c r="H51" i="1"/>
  <c r="J20" i="1"/>
  <c r="T20" i="1" s="1"/>
  <c r="J22" i="1"/>
  <c r="T22" i="1" s="1"/>
  <c r="C8" i="2"/>
  <c r="C9" i="2"/>
  <c r="C10" i="2"/>
  <c r="C28" i="2"/>
  <c r="K51" i="1" s="1"/>
  <c r="C29" i="2"/>
  <c r="C30" i="2"/>
  <c r="C31" i="2"/>
  <c r="C32" i="2"/>
  <c r="C34" i="2"/>
  <c r="C35" i="2"/>
  <c r="C38" i="2"/>
  <c r="C39" i="2"/>
  <c r="C40" i="2"/>
  <c r="C41" i="2"/>
  <c r="C45" i="2"/>
  <c r="C47" i="2"/>
  <c r="C48" i="2"/>
  <c r="K66" i="1" s="1"/>
  <c r="C50" i="2"/>
  <c r="K65" i="1" s="1"/>
  <c r="C52" i="2"/>
  <c r="C54" i="2"/>
  <c r="C55" i="2"/>
  <c r="C56" i="2"/>
  <c r="C58" i="2"/>
  <c r="C60" i="2"/>
  <c r="C62" i="2"/>
  <c r="C63" i="2"/>
  <c r="C66" i="2"/>
  <c r="C67" i="2"/>
  <c r="C71" i="2"/>
  <c r="C72" i="2"/>
  <c r="C73" i="2"/>
  <c r="C75" i="2"/>
  <c r="C76" i="2"/>
  <c r="C77" i="2"/>
  <c r="C78" i="2"/>
  <c r="C79" i="2"/>
  <c r="C80" i="2"/>
  <c r="C81" i="2"/>
  <c r="C82" i="2"/>
  <c r="C85" i="2"/>
  <c r="K99" i="1" s="1"/>
  <c r="C88" i="2"/>
  <c r="C93" i="2"/>
  <c r="C101" i="2"/>
  <c r="C102" i="2"/>
  <c r="C103" i="2"/>
  <c r="C104" i="2"/>
  <c r="C112" i="2"/>
  <c r="C136" i="2"/>
  <c r="C138" i="2"/>
  <c r="C139" i="2"/>
  <c r="K59" i="1" s="1"/>
  <c r="C140" i="2"/>
  <c r="K61" i="1" s="1"/>
  <c r="C142" i="2"/>
  <c r="C144" i="2"/>
  <c r="C146" i="2"/>
  <c r="C147" i="2"/>
  <c r="K35" i="1" s="1"/>
  <c r="C148" i="2"/>
  <c r="C149" i="2"/>
  <c r="C151" i="2"/>
  <c r="C152" i="2"/>
  <c r="C153" i="2"/>
  <c r="C154" i="2"/>
  <c r="C156" i="2"/>
  <c r="C157" i="2"/>
  <c r="C158" i="2"/>
  <c r="C159" i="2"/>
  <c r="C160" i="2"/>
  <c r="C162" i="2"/>
  <c r="K32" i="1" s="1"/>
  <c r="C163" i="2"/>
  <c r="C164" i="2"/>
  <c r="C170" i="2"/>
  <c r="C171" i="2"/>
  <c r="C172" i="2"/>
  <c r="C174" i="2"/>
  <c r="C175" i="2"/>
  <c r="C176" i="2"/>
  <c r="C177" i="2"/>
  <c r="C178" i="2"/>
  <c r="C179" i="2"/>
  <c r="K192" i="1" s="1"/>
  <c r="K69" i="1"/>
  <c r="P35" i="1" l="1"/>
  <c r="S35" i="1"/>
  <c r="P51" i="1"/>
  <c r="S51" i="1"/>
  <c r="P26" i="1"/>
  <c r="S26" i="1"/>
  <c r="P32" i="1"/>
  <c r="S32" i="1"/>
  <c r="P33" i="1"/>
  <c r="S33" i="1"/>
  <c r="S24" i="1"/>
  <c r="P24" i="1"/>
  <c r="P36" i="1"/>
  <c r="S36" i="1"/>
  <c r="P25" i="1"/>
  <c r="S25" i="1"/>
  <c r="E23" i="3"/>
  <c r="E22" i="3"/>
  <c r="E24" i="3"/>
  <c r="E185" i="3"/>
  <c r="E83" i="3"/>
  <c r="E39" i="3"/>
  <c r="E54" i="3"/>
  <c r="E36" i="3"/>
  <c r="K64" i="1"/>
  <c r="L64" i="1" s="1"/>
  <c r="Q64" i="1" s="1"/>
  <c r="K70" i="1"/>
  <c r="K72" i="1"/>
  <c r="K79" i="1"/>
  <c r="M36" i="1"/>
  <c r="K78" i="1"/>
  <c r="L36" i="1"/>
  <c r="K71" i="1"/>
  <c r="K33" i="1"/>
  <c r="K52" i="1"/>
  <c r="K60" i="1"/>
  <c r="K67" i="1"/>
  <c r="K23" i="1"/>
  <c r="K148" i="1"/>
  <c r="K73" i="1"/>
  <c r="L73" i="1" s="1"/>
  <c r="Q73" i="1" s="1"/>
  <c r="L38" i="1"/>
  <c r="Q38" i="1" s="1"/>
  <c r="M38" i="1"/>
  <c r="K108" i="1"/>
  <c r="M99" i="1"/>
  <c r="L99" i="1"/>
  <c r="K76" i="1"/>
  <c r="L32" i="1"/>
  <c r="M32" i="1"/>
  <c r="M35" i="1"/>
  <c r="L35" i="1"/>
  <c r="K74" i="1"/>
  <c r="L183" i="1"/>
  <c r="Q183" i="1" s="1"/>
  <c r="M183" i="1"/>
  <c r="K22" i="1"/>
  <c r="Q22" i="1" s="1"/>
  <c r="K180" i="1"/>
  <c r="K75" i="1"/>
  <c r="M75" i="1" s="1"/>
  <c r="M182" i="1"/>
  <c r="L182" i="1"/>
  <c r="Q182" i="1" s="1"/>
  <c r="K88" i="1"/>
  <c r="K158" i="1"/>
  <c r="K26" i="1"/>
  <c r="Q26" i="1" s="1"/>
  <c r="K62" i="1"/>
  <c r="K25" i="1"/>
  <c r="Q25" i="1" s="1"/>
  <c r="K63" i="1"/>
  <c r="K149" i="1"/>
  <c r="J75" i="1"/>
  <c r="J73" i="1"/>
  <c r="J69" i="1"/>
  <c r="J66" i="1"/>
  <c r="J61" i="1"/>
  <c r="J59" i="1"/>
  <c r="J36" i="1"/>
  <c r="T36" i="1" s="1"/>
  <c r="J32" i="1"/>
  <c r="T32" i="1" s="1"/>
  <c r="J35" i="1"/>
  <c r="T35" i="1" s="1"/>
  <c r="J25" i="1"/>
  <c r="T25" i="1" s="1"/>
  <c r="J33" i="1"/>
  <c r="T33" i="1" s="1"/>
  <c r="J24" i="1"/>
  <c r="T24" i="1" s="1"/>
  <c r="J51" i="1"/>
  <c r="T51" i="1" s="1"/>
  <c r="J26" i="1"/>
  <c r="T26" i="1" s="1"/>
  <c r="L51" i="1"/>
  <c r="M51" i="1"/>
  <c r="L69" i="1"/>
  <c r="Q69" i="1" s="1"/>
  <c r="M69" i="1"/>
  <c r="L66" i="1"/>
  <c r="Q66" i="1" s="1"/>
  <c r="M66" i="1"/>
  <c r="L61" i="1"/>
  <c r="Q61" i="1" s="1"/>
  <c r="M61" i="1"/>
  <c r="L59" i="1"/>
  <c r="Q59" i="1" s="1"/>
  <c r="M59" i="1"/>
  <c r="L192" i="1"/>
  <c r="Q192" i="1" s="1"/>
  <c r="M192" i="1"/>
  <c r="L20" i="1"/>
  <c r="X20" i="1" s="1"/>
  <c r="M20" i="1"/>
  <c r="K159" i="1"/>
  <c r="K116" i="1"/>
  <c r="K178" i="1"/>
  <c r="K119" i="1"/>
  <c r="K173" i="1"/>
  <c r="K157" i="1"/>
  <c r="K97" i="1"/>
  <c r="K83" i="1"/>
  <c r="K46" i="1"/>
  <c r="K175" i="1"/>
  <c r="K117" i="1"/>
  <c r="K87" i="1"/>
  <c r="K48" i="1"/>
  <c r="K190" i="1"/>
  <c r="K174" i="1"/>
  <c r="K189" i="1"/>
  <c r="K188" i="1"/>
  <c r="K172" i="1"/>
  <c r="K155" i="1"/>
  <c r="K96" i="1"/>
  <c r="K82" i="1"/>
  <c r="K45" i="1"/>
  <c r="K163" i="1"/>
  <c r="K49" i="1"/>
  <c r="K187" i="1"/>
  <c r="K154" i="1"/>
  <c r="K95" i="1"/>
  <c r="K44" i="1"/>
  <c r="K177" i="1"/>
  <c r="K161" i="1"/>
  <c r="K169" i="1"/>
  <c r="K94" i="1"/>
  <c r="K43" i="1"/>
  <c r="K118" i="1"/>
  <c r="K93" i="1"/>
  <c r="K42" i="1"/>
  <c r="K191" i="1"/>
  <c r="K101" i="1"/>
  <c r="K171" i="1"/>
  <c r="K153" i="1"/>
  <c r="K168" i="1"/>
  <c r="K151" i="1"/>
  <c r="K185" i="1"/>
  <c r="K167" i="1"/>
  <c r="K92" i="1"/>
  <c r="K56" i="1"/>
  <c r="K166" i="1"/>
  <c r="K127" i="1"/>
  <c r="K91" i="1"/>
  <c r="K55" i="1"/>
  <c r="K162" i="1"/>
  <c r="K179" i="1"/>
  <c r="K164" i="1"/>
  <c r="K104" i="1"/>
  <c r="K53" i="1"/>
  <c r="K24" i="1"/>
  <c r="Q24" i="1" s="1"/>
  <c r="K98" i="1"/>
  <c r="K89" i="1"/>
  <c r="H52" i="1"/>
  <c r="H148" i="1"/>
  <c r="H108" i="1"/>
  <c r="P108" i="1" s="1"/>
  <c r="H149" i="1"/>
  <c r="P149" i="1" s="1"/>
  <c r="H168" i="1"/>
  <c r="X35" i="1" l="1"/>
  <c r="Q35" i="1"/>
  <c r="AB32" i="1"/>
  <c r="W32" i="1"/>
  <c r="Z32" i="1"/>
  <c r="AA32" i="1" s="1"/>
  <c r="W26" i="1"/>
  <c r="Z26" i="1"/>
  <c r="AA26" i="1" s="1"/>
  <c r="AB26" i="1"/>
  <c r="X32" i="1"/>
  <c r="Q32" i="1"/>
  <c r="L23" i="1"/>
  <c r="N23" i="1" s="1"/>
  <c r="Q23" i="1"/>
  <c r="AB25" i="1"/>
  <c r="W25" i="1"/>
  <c r="Z25" i="1"/>
  <c r="AA25" i="1" s="1"/>
  <c r="P148" i="1"/>
  <c r="S148" i="1"/>
  <c r="Y20" i="1"/>
  <c r="AC20" i="1"/>
  <c r="X51" i="1"/>
  <c r="Q51" i="1"/>
  <c r="Z24" i="1"/>
  <c r="AB24" i="1"/>
  <c r="W24" i="1"/>
  <c r="W51" i="1"/>
  <c r="Z51" i="1"/>
  <c r="AA51" i="1" s="1"/>
  <c r="AB51" i="1"/>
  <c r="P52" i="1"/>
  <c r="S52" i="1"/>
  <c r="X99" i="1"/>
  <c r="Q99" i="1"/>
  <c r="Z36" i="1"/>
  <c r="AA36" i="1" s="1"/>
  <c r="AB36" i="1"/>
  <c r="W36" i="1"/>
  <c r="W33" i="1"/>
  <c r="Z33" i="1"/>
  <c r="AA33" i="1" s="1"/>
  <c r="AB33" i="1"/>
  <c r="W35" i="1"/>
  <c r="Z35" i="1"/>
  <c r="AA35" i="1" s="1"/>
  <c r="AB35" i="1"/>
  <c r="P168" i="1"/>
  <c r="S168" i="1"/>
  <c r="X36" i="1"/>
  <c r="Q36" i="1"/>
  <c r="E168" i="3"/>
  <c r="E153" i="3"/>
  <c r="E71" i="3"/>
  <c r="E78" i="3"/>
  <c r="E96" i="3"/>
  <c r="E52" i="3"/>
  <c r="E120" i="3"/>
  <c r="E117" i="3"/>
  <c r="E62" i="3"/>
  <c r="E150" i="3"/>
  <c r="E105" i="3"/>
  <c r="E64" i="3"/>
  <c r="E75" i="3"/>
  <c r="E74" i="3"/>
  <c r="E170" i="3"/>
  <c r="E102" i="3"/>
  <c r="E94" i="3"/>
  <c r="E179" i="3"/>
  <c r="E165" i="3"/>
  <c r="E68" i="3"/>
  <c r="E180" i="3"/>
  <c r="E161" i="3"/>
  <c r="E38" i="3"/>
  <c r="E160" i="3"/>
  <c r="E67" i="3"/>
  <c r="E51" i="3"/>
  <c r="E26" i="3"/>
  <c r="E194" i="3"/>
  <c r="E99" i="3"/>
  <c r="E121" i="3"/>
  <c r="E59" i="3"/>
  <c r="E46" i="3"/>
  <c r="E171" i="3"/>
  <c r="E191" i="3"/>
  <c r="E87" i="3"/>
  <c r="E159" i="3"/>
  <c r="E82" i="3"/>
  <c r="E58" i="3"/>
  <c r="E91" i="3"/>
  <c r="E76" i="3"/>
  <c r="E169" i="3"/>
  <c r="E155" i="3"/>
  <c r="E193" i="3"/>
  <c r="E119" i="3"/>
  <c r="E65" i="3"/>
  <c r="E47" i="3"/>
  <c r="E156" i="3"/>
  <c r="E48" i="3"/>
  <c r="E35" i="3"/>
  <c r="E181" i="3"/>
  <c r="E49" i="3"/>
  <c r="E55" i="3"/>
  <c r="E72" i="3"/>
  <c r="E73" i="3"/>
  <c r="E79" i="3"/>
  <c r="E66" i="3"/>
  <c r="E157" i="3"/>
  <c r="E176" i="3"/>
  <c r="E118" i="3"/>
  <c r="E98" i="3"/>
  <c r="E175" i="3"/>
  <c r="E69" i="3"/>
  <c r="E151" i="3"/>
  <c r="E184" i="3"/>
  <c r="E25" i="3"/>
  <c r="E128" i="3"/>
  <c r="E92" i="3"/>
  <c r="E187" i="3"/>
  <c r="E173" i="3"/>
  <c r="E45" i="3"/>
  <c r="E163" i="3"/>
  <c r="E189" i="3"/>
  <c r="E88" i="3"/>
  <c r="E27" i="3"/>
  <c r="E130" i="3"/>
  <c r="E89" i="3"/>
  <c r="E56" i="3"/>
  <c r="E166" i="3"/>
  <c r="E164" i="3"/>
  <c r="E63" i="3"/>
  <c r="E95" i="3"/>
  <c r="E97" i="3"/>
  <c r="E174" i="3"/>
  <c r="E192" i="3"/>
  <c r="E177" i="3"/>
  <c r="E182" i="3"/>
  <c r="E109" i="3"/>
  <c r="M64" i="1"/>
  <c r="L75" i="1"/>
  <c r="Q75" i="1" s="1"/>
  <c r="M52" i="1"/>
  <c r="L26" i="1"/>
  <c r="X26" i="1" s="1"/>
  <c r="L52" i="1"/>
  <c r="M26" i="1"/>
  <c r="M23" i="1"/>
  <c r="N36" i="1"/>
  <c r="L33" i="1"/>
  <c r="M33" i="1"/>
  <c r="M22" i="1"/>
  <c r="N32" i="1"/>
  <c r="M108" i="1"/>
  <c r="L108" i="1"/>
  <c r="Q108" i="1" s="1"/>
  <c r="L148" i="1"/>
  <c r="M148" i="1"/>
  <c r="L22" i="1"/>
  <c r="X22" i="1" s="1"/>
  <c r="M25" i="1"/>
  <c r="M73" i="1"/>
  <c r="N99" i="1"/>
  <c r="L25" i="1"/>
  <c r="X25" i="1" s="1"/>
  <c r="N35" i="1"/>
  <c r="N38" i="1"/>
  <c r="L158" i="1"/>
  <c r="Q158" i="1" s="1"/>
  <c r="M158" i="1"/>
  <c r="N183" i="1"/>
  <c r="M37" i="1"/>
  <c r="L37" i="1"/>
  <c r="Q37" i="1" s="1"/>
  <c r="L149" i="1"/>
  <c r="Q149" i="1" s="1"/>
  <c r="M149" i="1"/>
  <c r="M180" i="1"/>
  <c r="L180" i="1"/>
  <c r="N182" i="1"/>
  <c r="N192" i="1"/>
  <c r="N73" i="1"/>
  <c r="N69" i="1"/>
  <c r="N66" i="1"/>
  <c r="N64" i="1"/>
  <c r="N61" i="1"/>
  <c r="N59" i="1"/>
  <c r="J108" i="1"/>
  <c r="N20" i="1"/>
  <c r="J148" i="1"/>
  <c r="T148" i="1" s="1"/>
  <c r="J52" i="1"/>
  <c r="T52" i="1" s="1"/>
  <c r="J149" i="1"/>
  <c r="N51" i="1"/>
  <c r="M163" i="1"/>
  <c r="L189" i="1"/>
  <c r="Q189" i="1" s="1"/>
  <c r="M189" i="1"/>
  <c r="L178" i="1"/>
  <c r="M178" i="1"/>
  <c r="L62" i="1"/>
  <c r="Q62" i="1" s="1"/>
  <c r="M62" i="1"/>
  <c r="L169" i="1"/>
  <c r="M169" i="1"/>
  <c r="L177" i="1"/>
  <c r="M177" i="1"/>
  <c r="L95" i="1"/>
  <c r="M95" i="1"/>
  <c r="L49" i="1"/>
  <c r="M49" i="1"/>
  <c r="L82" i="1"/>
  <c r="Q82" i="1" s="1"/>
  <c r="M82" i="1"/>
  <c r="L155" i="1"/>
  <c r="M155" i="1"/>
  <c r="L174" i="1"/>
  <c r="M174" i="1"/>
  <c r="L117" i="1"/>
  <c r="M117" i="1"/>
  <c r="L83" i="1"/>
  <c r="Q83" i="1" s="1"/>
  <c r="M83" i="1"/>
  <c r="L159" i="1"/>
  <c r="M159" i="1"/>
  <c r="L187" i="1"/>
  <c r="Q187" i="1" s="1"/>
  <c r="M187" i="1"/>
  <c r="L89" i="1"/>
  <c r="Q89" i="1" s="1"/>
  <c r="M89" i="1"/>
  <c r="L53" i="1"/>
  <c r="M53" i="1"/>
  <c r="L74" i="1"/>
  <c r="Q74" i="1" s="1"/>
  <c r="M74" i="1"/>
  <c r="L185" i="1"/>
  <c r="M185" i="1"/>
  <c r="L153" i="1"/>
  <c r="M153" i="1"/>
  <c r="L97" i="1"/>
  <c r="M97" i="1"/>
  <c r="L173" i="1"/>
  <c r="M173" i="1"/>
  <c r="L43" i="1"/>
  <c r="M43" i="1"/>
  <c r="L92" i="1"/>
  <c r="M92" i="1"/>
  <c r="L101" i="1"/>
  <c r="M101" i="1"/>
  <c r="L78" i="1"/>
  <c r="M78" i="1"/>
  <c r="L79" i="1"/>
  <c r="M79" i="1"/>
  <c r="L44" i="1"/>
  <c r="M44" i="1"/>
  <c r="L163" i="1"/>
  <c r="L96" i="1"/>
  <c r="M96" i="1"/>
  <c r="L172" i="1"/>
  <c r="M172" i="1"/>
  <c r="L190" i="1"/>
  <c r="Q190" i="1" s="1"/>
  <c r="M190" i="1"/>
  <c r="L175" i="1"/>
  <c r="M175" i="1"/>
  <c r="L118" i="1"/>
  <c r="M118" i="1"/>
  <c r="L65" i="1"/>
  <c r="Q65" i="1" s="1"/>
  <c r="M65" i="1"/>
  <c r="L167" i="1"/>
  <c r="M167" i="1"/>
  <c r="L72" i="1"/>
  <c r="Q72" i="1" s="1"/>
  <c r="M72" i="1"/>
  <c r="L98" i="1"/>
  <c r="Q98" i="1" s="1"/>
  <c r="M98" i="1"/>
  <c r="L164" i="1"/>
  <c r="M164" i="1"/>
  <c r="L71" i="1"/>
  <c r="Q71" i="1" s="1"/>
  <c r="M71" i="1"/>
  <c r="L91" i="1"/>
  <c r="M91" i="1"/>
  <c r="L56" i="1"/>
  <c r="M56" i="1"/>
  <c r="L151" i="1"/>
  <c r="M151" i="1"/>
  <c r="L88" i="1"/>
  <c r="Q88" i="1" s="1"/>
  <c r="M88" i="1"/>
  <c r="L67" i="1"/>
  <c r="Q67" i="1" s="1"/>
  <c r="M67" i="1"/>
  <c r="L42" i="1"/>
  <c r="M42" i="1"/>
  <c r="L87" i="1"/>
  <c r="M87" i="1"/>
  <c r="L166" i="1"/>
  <c r="M166" i="1"/>
  <c r="L157" i="1"/>
  <c r="M157" i="1"/>
  <c r="L70" i="1"/>
  <c r="Q70" i="1" s="1"/>
  <c r="M70" i="1"/>
  <c r="L171" i="1"/>
  <c r="M171" i="1"/>
  <c r="L191" i="1"/>
  <c r="Q191" i="1" s="1"/>
  <c r="M191" i="1"/>
  <c r="L93" i="1"/>
  <c r="M93" i="1"/>
  <c r="L94" i="1"/>
  <c r="M94" i="1"/>
  <c r="L161" i="1"/>
  <c r="M161" i="1"/>
  <c r="L63" i="1"/>
  <c r="Q63" i="1" s="1"/>
  <c r="M63" i="1"/>
  <c r="L154" i="1"/>
  <c r="M154" i="1"/>
  <c r="L45" i="1"/>
  <c r="M45" i="1"/>
  <c r="L188" i="1"/>
  <c r="Q188" i="1" s="1"/>
  <c r="M188" i="1"/>
  <c r="L48" i="1"/>
  <c r="M48" i="1"/>
  <c r="L46" i="1"/>
  <c r="Q46" i="1" s="1"/>
  <c r="M46" i="1"/>
  <c r="L116" i="1"/>
  <c r="M116" i="1"/>
  <c r="L55" i="1"/>
  <c r="M55" i="1"/>
  <c r="L60" i="1"/>
  <c r="Q60" i="1" s="1"/>
  <c r="M60" i="1"/>
  <c r="L104" i="1"/>
  <c r="M104" i="1"/>
  <c r="L179" i="1"/>
  <c r="M179" i="1"/>
  <c r="L162" i="1"/>
  <c r="M162" i="1"/>
  <c r="L127" i="1"/>
  <c r="Q127" i="1" s="1"/>
  <c r="M127" i="1"/>
  <c r="L76" i="1"/>
  <c r="Q76" i="1" s="1"/>
  <c r="M76" i="1"/>
  <c r="L168" i="1"/>
  <c r="M168" i="1"/>
  <c r="L119" i="1"/>
  <c r="Q119" i="1" s="1"/>
  <c r="M119" i="1"/>
  <c r="L24" i="1"/>
  <c r="X24" i="1" s="1"/>
  <c r="M24" i="1"/>
  <c r="H74" i="1"/>
  <c r="P74" i="1" s="1"/>
  <c r="H72" i="1"/>
  <c r="P72" i="1" s="1"/>
  <c r="H60" i="1"/>
  <c r="P60" i="1" s="1"/>
  <c r="H53" i="1"/>
  <c r="H48" i="1"/>
  <c r="H63" i="1"/>
  <c r="P63" i="1" s="1"/>
  <c r="H49" i="1"/>
  <c r="H67" i="1"/>
  <c r="P67" i="1" s="1"/>
  <c r="H62" i="1"/>
  <c r="P62" i="1" s="1"/>
  <c r="H65" i="1"/>
  <c r="P65" i="1" s="1"/>
  <c r="H71" i="1"/>
  <c r="P71" i="1" s="1"/>
  <c r="H70" i="1"/>
  <c r="P70" i="1" s="1"/>
  <c r="H76" i="1"/>
  <c r="P76" i="1" s="1"/>
  <c r="H189" i="1"/>
  <c r="P189" i="1" s="1"/>
  <c r="H180" i="1"/>
  <c r="H171" i="1"/>
  <c r="H161" i="1"/>
  <c r="H190" i="1"/>
  <c r="P190" i="1" s="1"/>
  <c r="H177" i="1"/>
  <c r="H167" i="1"/>
  <c r="H155" i="1"/>
  <c r="H185" i="1"/>
  <c r="H169" i="1"/>
  <c r="H191" i="1"/>
  <c r="P191" i="1" s="1"/>
  <c r="H175" i="1"/>
  <c r="H166" i="1"/>
  <c r="H154" i="1"/>
  <c r="H79" i="1"/>
  <c r="H178" i="1"/>
  <c r="H174" i="1"/>
  <c r="H153" i="1"/>
  <c r="H192" i="1"/>
  <c r="P192" i="1" s="1"/>
  <c r="H179" i="1"/>
  <c r="H188" i="1"/>
  <c r="P188" i="1" s="1"/>
  <c r="H187" i="1"/>
  <c r="P187" i="1" s="1"/>
  <c r="H173" i="1"/>
  <c r="H163" i="1"/>
  <c r="H151" i="1"/>
  <c r="H159" i="1"/>
  <c r="H157" i="1"/>
  <c r="H172" i="1"/>
  <c r="H162" i="1"/>
  <c r="J168" i="1"/>
  <c r="S167" i="1" l="1"/>
  <c r="P167" i="1"/>
  <c r="S48" i="1"/>
  <c r="P48" i="1"/>
  <c r="Q179" i="1"/>
  <c r="X179" i="1"/>
  <c r="X55" i="1"/>
  <c r="Q55" i="1"/>
  <c r="X45" i="1"/>
  <c r="Q45" i="1"/>
  <c r="X94" i="1"/>
  <c r="Q94" i="1"/>
  <c r="Q171" i="1"/>
  <c r="X171" i="1"/>
  <c r="Q87" i="1"/>
  <c r="X87" i="1"/>
  <c r="Q91" i="1"/>
  <c r="X91" i="1"/>
  <c r="X96" i="1"/>
  <c r="Q96" i="1"/>
  <c r="AB168" i="1"/>
  <c r="W168" i="1"/>
  <c r="AC51" i="1"/>
  <c r="AD51" i="1"/>
  <c r="Y51" i="1"/>
  <c r="Q153" i="1"/>
  <c r="X153" i="1"/>
  <c r="Q116" i="1"/>
  <c r="X116" i="1"/>
  <c r="X175" i="1"/>
  <c r="Q175" i="1"/>
  <c r="S161" i="1"/>
  <c r="P161" i="1"/>
  <c r="X95" i="1"/>
  <c r="Q95" i="1"/>
  <c r="X178" i="1"/>
  <c r="Q178" i="1"/>
  <c r="P173" i="1"/>
  <c r="S173" i="1"/>
  <c r="AA168" i="1"/>
  <c r="T168" i="1"/>
  <c r="S154" i="1"/>
  <c r="P154" i="1"/>
  <c r="P53" i="1"/>
  <c r="S53" i="1"/>
  <c r="X43" i="1"/>
  <c r="Q43" i="1"/>
  <c r="P162" i="1"/>
  <c r="S162" i="1"/>
  <c r="Q104" i="1"/>
  <c r="X104" i="1"/>
  <c r="Q154" i="1"/>
  <c r="X154" i="1"/>
  <c r="S179" i="1"/>
  <c r="P179" i="1"/>
  <c r="X78" i="1"/>
  <c r="Q78" i="1"/>
  <c r="Q185" i="1"/>
  <c r="X185" i="1"/>
  <c r="X174" i="1"/>
  <c r="Q174" i="1"/>
  <c r="S157" i="1"/>
  <c r="P157" i="1"/>
  <c r="S171" i="1"/>
  <c r="P171" i="1"/>
  <c r="X93" i="1"/>
  <c r="Q93" i="1"/>
  <c r="X157" i="1"/>
  <c r="Q157" i="1"/>
  <c r="X42" i="1"/>
  <c r="Q42" i="1"/>
  <c r="X151" i="1"/>
  <c r="Q151" i="1"/>
  <c r="X164" i="1"/>
  <c r="Q164" i="1"/>
  <c r="AC25" i="1"/>
  <c r="Y25" i="1"/>
  <c r="Y22" i="1"/>
  <c r="AC22" i="1"/>
  <c r="AB148" i="1"/>
  <c r="W148" i="1"/>
  <c r="AC32" i="1"/>
  <c r="AD32" i="1"/>
  <c r="Y32" i="1"/>
  <c r="Y35" i="1"/>
  <c r="AC35" i="1"/>
  <c r="AD35" i="1"/>
  <c r="P79" i="1"/>
  <c r="S79" i="1"/>
  <c r="X117" i="1"/>
  <c r="Q117" i="1"/>
  <c r="P166" i="1"/>
  <c r="S166" i="1"/>
  <c r="X48" i="1"/>
  <c r="Q48" i="1"/>
  <c r="Q167" i="1"/>
  <c r="X167" i="1"/>
  <c r="S172" i="1"/>
  <c r="P172" i="1"/>
  <c r="P175" i="1"/>
  <c r="S175" i="1"/>
  <c r="P159" i="1"/>
  <c r="S159" i="1"/>
  <c r="S153" i="1"/>
  <c r="P153" i="1"/>
  <c r="P169" i="1"/>
  <c r="S169" i="1"/>
  <c r="S180" i="1"/>
  <c r="P180" i="1"/>
  <c r="X44" i="1"/>
  <c r="Q44" i="1"/>
  <c r="X101" i="1"/>
  <c r="Q101" i="1"/>
  <c r="X173" i="1"/>
  <c r="Q173" i="1"/>
  <c r="X53" i="1"/>
  <c r="Q53" i="1"/>
  <c r="X159" i="1"/>
  <c r="Q159" i="1"/>
  <c r="X155" i="1"/>
  <c r="Q155" i="1"/>
  <c r="X177" i="1"/>
  <c r="Q177" i="1"/>
  <c r="X180" i="1"/>
  <c r="Q180" i="1"/>
  <c r="X52" i="1"/>
  <c r="Q52" i="1"/>
  <c r="Q163" i="1"/>
  <c r="X163" i="1"/>
  <c r="X49" i="1"/>
  <c r="Q49" i="1"/>
  <c r="S185" i="1"/>
  <c r="P185" i="1"/>
  <c r="P49" i="1"/>
  <c r="S49" i="1"/>
  <c r="X162" i="1"/>
  <c r="Q162" i="1"/>
  <c r="Q56" i="1"/>
  <c r="X56" i="1"/>
  <c r="X118" i="1"/>
  <c r="Q118" i="1"/>
  <c r="Q172" i="1"/>
  <c r="X172" i="1"/>
  <c r="X148" i="1"/>
  <c r="Q148" i="1"/>
  <c r="N33" i="1"/>
  <c r="X33" i="1"/>
  <c r="Q33" i="1"/>
  <c r="Y26" i="1"/>
  <c r="AC26" i="1"/>
  <c r="AC99" i="1"/>
  <c r="AD99" i="1"/>
  <c r="Y99" i="1"/>
  <c r="S177" i="1"/>
  <c r="P177" i="1"/>
  <c r="P151" i="1"/>
  <c r="S151" i="1"/>
  <c r="P174" i="1"/>
  <c r="S174" i="1"/>
  <c r="AC24" i="1"/>
  <c r="Y24" i="1"/>
  <c r="Q168" i="1"/>
  <c r="X168" i="1"/>
  <c r="Q161" i="1"/>
  <c r="X161" i="1"/>
  <c r="Q166" i="1"/>
  <c r="X166" i="1"/>
  <c r="S163" i="1"/>
  <c r="P163" i="1"/>
  <c r="P178" i="1"/>
  <c r="S178" i="1"/>
  <c r="P155" i="1"/>
  <c r="S155" i="1"/>
  <c r="X79" i="1"/>
  <c r="Q79" i="1"/>
  <c r="X92" i="1"/>
  <c r="Q92" i="1"/>
  <c r="X97" i="1"/>
  <c r="Q97" i="1"/>
  <c r="X169" i="1"/>
  <c r="Q169" i="1"/>
  <c r="Y36" i="1"/>
  <c r="AC36" i="1"/>
  <c r="AD36" i="1"/>
  <c r="W52" i="1"/>
  <c r="Z52" i="1"/>
  <c r="AA52" i="1" s="1"/>
  <c r="AB52" i="1"/>
  <c r="AA24" i="1"/>
  <c r="N26" i="1"/>
  <c r="N75" i="1"/>
  <c r="N52" i="1"/>
  <c r="N25" i="1"/>
  <c r="N22" i="1"/>
  <c r="N108" i="1"/>
  <c r="N148" i="1"/>
  <c r="N180" i="1"/>
  <c r="N37" i="1"/>
  <c r="N158" i="1"/>
  <c r="N149" i="1"/>
  <c r="N191" i="1"/>
  <c r="N76" i="1"/>
  <c r="N70" i="1"/>
  <c r="N72" i="1"/>
  <c r="N82" i="1"/>
  <c r="N83" i="1"/>
  <c r="J72" i="1"/>
  <c r="J70" i="1"/>
  <c r="J190" i="1"/>
  <c r="J74" i="1"/>
  <c r="J192" i="1"/>
  <c r="N188" i="1"/>
  <c r="N189" i="1"/>
  <c r="J191" i="1"/>
  <c r="J189" i="1"/>
  <c r="N119" i="1"/>
  <c r="N71" i="1"/>
  <c r="N190" i="1"/>
  <c r="J187" i="1"/>
  <c r="J188" i="1"/>
  <c r="N89" i="1"/>
  <c r="J71" i="1"/>
  <c r="J76" i="1"/>
  <c r="N74" i="1"/>
  <c r="N187" i="1"/>
  <c r="N98" i="1"/>
  <c r="N67" i="1"/>
  <c r="J67" i="1"/>
  <c r="N65" i="1"/>
  <c r="J65" i="1"/>
  <c r="N63" i="1"/>
  <c r="J63" i="1"/>
  <c r="N62" i="1"/>
  <c r="J62" i="1"/>
  <c r="J60" i="1"/>
  <c r="N60" i="1"/>
  <c r="J153" i="1"/>
  <c r="T153" i="1" s="1"/>
  <c r="J155" i="1"/>
  <c r="T155" i="1" s="1"/>
  <c r="N93" i="1"/>
  <c r="N91" i="1"/>
  <c r="N175" i="1"/>
  <c r="J172" i="1"/>
  <c r="J154" i="1"/>
  <c r="T154" i="1" s="1"/>
  <c r="J174" i="1"/>
  <c r="J166" i="1"/>
  <c r="J177" i="1"/>
  <c r="J49" i="1"/>
  <c r="T49" i="1" s="1"/>
  <c r="N24" i="1"/>
  <c r="N168" i="1"/>
  <c r="N162" i="1"/>
  <c r="N161" i="1"/>
  <c r="N166" i="1"/>
  <c r="N151" i="1"/>
  <c r="J163" i="1"/>
  <c r="T163" i="1" s="1"/>
  <c r="J53" i="1"/>
  <c r="T53" i="1" s="1"/>
  <c r="N127" i="1"/>
  <c r="N157" i="1"/>
  <c r="J173" i="1"/>
  <c r="J167" i="1"/>
  <c r="N159" i="1"/>
  <c r="N177" i="1"/>
  <c r="N44" i="1"/>
  <c r="N78" i="1"/>
  <c r="N185" i="1"/>
  <c r="N169" i="1"/>
  <c r="J161" i="1"/>
  <c r="T161" i="1" s="1"/>
  <c r="N179" i="1"/>
  <c r="N55" i="1"/>
  <c r="N46" i="1"/>
  <c r="N45" i="1"/>
  <c r="N94" i="1"/>
  <c r="N171" i="1"/>
  <c r="N87" i="1"/>
  <c r="N88" i="1"/>
  <c r="N164" i="1"/>
  <c r="N167" i="1"/>
  <c r="N118" i="1"/>
  <c r="N172" i="1"/>
  <c r="J162" i="1"/>
  <c r="T162" i="1" s="1"/>
  <c r="J79" i="1"/>
  <c r="N42" i="1"/>
  <c r="N43" i="1"/>
  <c r="N153" i="1"/>
  <c r="N155" i="1"/>
  <c r="J175" i="1"/>
  <c r="J157" i="1"/>
  <c r="T157" i="1" s="1"/>
  <c r="J179" i="1"/>
  <c r="J178" i="1"/>
  <c r="J171" i="1"/>
  <c r="N101" i="1"/>
  <c r="N173" i="1"/>
  <c r="N117" i="1"/>
  <c r="N49" i="1"/>
  <c r="J169" i="1"/>
  <c r="J180" i="1"/>
  <c r="N104" i="1"/>
  <c r="N116" i="1"/>
  <c r="N48" i="1"/>
  <c r="N154" i="1"/>
  <c r="N56" i="1"/>
  <c r="N96" i="1"/>
  <c r="J159" i="1"/>
  <c r="T159" i="1" s="1"/>
  <c r="J151" i="1"/>
  <c r="T151" i="1" s="1"/>
  <c r="J185" i="1"/>
  <c r="T185" i="1" s="1"/>
  <c r="J48" i="1"/>
  <c r="T48" i="1" s="1"/>
  <c r="N163" i="1"/>
  <c r="N79" i="1"/>
  <c r="N92" i="1"/>
  <c r="N97" i="1"/>
  <c r="N53" i="1"/>
  <c r="N174" i="1"/>
  <c r="N95" i="1"/>
  <c r="N178" i="1"/>
  <c r="Y169" i="1" l="1"/>
  <c r="AC169" i="1"/>
  <c r="AC49" i="1"/>
  <c r="Y49" i="1"/>
  <c r="W169" i="1"/>
  <c r="AB169" i="1"/>
  <c r="AD169" i="1" s="1"/>
  <c r="W166" i="1"/>
  <c r="AB166" i="1"/>
  <c r="AD166" i="1" s="1"/>
  <c r="Y151" i="1"/>
  <c r="AC151" i="1"/>
  <c r="Y95" i="1"/>
  <c r="AC95" i="1"/>
  <c r="Y171" i="1"/>
  <c r="AC171" i="1"/>
  <c r="Y179" i="1"/>
  <c r="AC179" i="1"/>
  <c r="W178" i="1"/>
  <c r="AB178" i="1"/>
  <c r="AD178" i="1" s="1"/>
  <c r="W151" i="1"/>
  <c r="AB151" i="1"/>
  <c r="AD151" i="1" s="1"/>
  <c r="Y163" i="1"/>
  <c r="AC163" i="1"/>
  <c r="AD52" i="1"/>
  <c r="Y52" i="1"/>
  <c r="AC52" i="1"/>
  <c r="Y155" i="1"/>
  <c r="AC155" i="1"/>
  <c r="Y173" i="1"/>
  <c r="AC173" i="1"/>
  <c r="AB172" i="1"/>
  <c r="AD172" i="1" s="1"/>
  <c r="W172" i="1"/>
  <c r="W162" i="1"/>
  <c r="AB162" i="1"/>
  <c r="AD162" i="1" s="1"/>
  <c r="Y97" i="1"/>
  <c r="AC97" i="1"/>
  <c r="Y148" i="1"/>
  <c r="AC148" i="1"/>
  <c r="AD148" i="1"/>
  <c r="Y162" i="1"/>
  <c r="AC162" i="1"/>
  <c r="AC167" i="1"/>
  <c r="Y167" i="1"/>
  <c r="AC42" i="1"/>
  <c r="Y42" i="1"/>
  <c r="W171" i="1"/>
  <c r="AB171" i="1"/>
  <c r="AD171" i="1" s="1"/>
  <c r="AC78" i="1"/>
  <c r="Y78" i="1"/>
  <c r="W154" i="1"/>
  <c r="AB154" i="1"/>
  <c r="AD154" i="1" s="1"/>
  <c r="AD168" i="1"/>
  <c r="Y168" i="1"/>
  <c r="AC168" i="1"/>
  <c r="AC172" i="1"/>
  <c r="Y172" i="1"/>
  <c r="AB49" i="1"/>
  <c r="AD49" i="1" s="1"/>
  <c r="W49" i="1"/>
  <c r="Z49" i="1"/>
  <c r="AA49" i="1" s="1"/>
  <c r="Y159" i="1"/>
  <c r="AC159" i="1"/>
  <c r="Y101" i="1"/>
  <c r="AC101" i="1"/>
  <c r="AB153" i="1"/>
  <c r="AD153" i="1" s="1"/>
  <c r="W153" i="1"/>
  <c r="Y117" i="1"/>
  <c r="AC117" i="1"/>
  <c r="Y153" i="1"/>
  <c r="AC153" i="1"/>
  <c r="AC96" i="1"/>
  <c r="Y96" i="1"/>
  <c r="Y94" i="1"/>
  <c r="AC94" i="1"/>
  <c r="T172" i="1"/>
  <c r="AA172" i="1"/>
  <c r="Y92" i="1"/>
  <c r="AC92" i="1"/>
  <c r="AB163" i="1"/>
  <c r="AD163" i="1" s="1"/>
  <c r="W163" i="1"/>
  <c r="AB177" i="1"/>
  <c r="AD177" i="1" s="1"/>
  <c r="W177" i="1"/>
  <c r="AB159" i="1"/>
  <c r="AD159" i="1" s="1"/>
  <c r="W159" i="1"/>
  <c r="W79" i="1"/>
  <c r="AB79" i="1"/>
  <c r="AD79" i="1" s="1"/>
  <c r="AC157" i="1"/>
  <c r="Y157" i="1"/>
  <c r="AB157" i="1"/>
  <c r="AD157" i="1" s="1"/>
  <c r="W157" i="1"/>
  <c r="AB179" i="1"/>
  <c r="AD179" i="1" s="1"/>
  <c r="W179" i="1"/>
  <c r="W161" i="1"/>
  <c r="AB161" i="1"/>
  <c r="AD161" i="1" s="1"/>
  <c r="Y91" i="1"/>
  <c r="AC91" i="1"/>
  <c r="T180" i="1"/>
  <c r="AA180" i="1"/>
  <c r="T171" i="1"/>
  <c r="AA171" i="1"/>
  <c r="T177" i="1"/>
  <c r="AA177" i="1"/>
  <c r="Y166" i="1"/>
  <c r="AC166" i="1"/>
  <c r="AC180" i="1"/>
  <c r="Y180" i="1"/>
  <c r="Y53" i="1"/>
  <c r="AC53" i="1"/>
  <c r="Y44" i="1"/>
  <c r="AC44" i="1"/>
  <c r="Y154" i="1"/>
  <c r="AC154" i="1"/>
  <c r="W173" i="1"/>
  <c r="AB173" i="1"/>
  <c r="AD173" i="1" s="1"/>
  <c r="Y45" i="1"/>
  <c r="AC45" i="1"/>
  <c r="AB48" i="1"/>
  <c r="AD48" i="1" s="1"/>
  <c r="W48" i="1"/>
  <c r="Z48" i="1"/>
  <c r="AA48" i="1" s="1"/>
  <c r="T175" i="1"/>
  <c r="AA175" i="1"/>
  <c r="T169" i="1"/>
  <c r="AA169" i="1"/>
  <c r="Y79" i="1"/>
  <c r="AC79" i="1"/>
  <c r="Y118" i="1"/>
  <c r="AC118" i="1"/>
  <c r="AB185" i="1"/>
  <c r="AD185" i="1" s="1"/>
  <c r="W185" i="1"/>
  <c r="W175" i="1"/>
  <c r="AB175" i="1"/>
  <c r="AD175" i="1" s="1"/>
  <c r="AD164" i="1"/>
  <c r="Y164" i="1"/>
  <c r="AC164" i="1"/>
  <c r="AC93" i="1"/>
  <c r="Y93" i="1"/>
  <c r="AC174" i="1"/>
  <c r="Y174" i="1"/>
  <c r="Y43" i="1"/>
  <c r="AC43" i="1"/>
  <c r="Y178" i="1"/>
  <c r="AC178" i="1"/>
  <c r="Y175" i="1"/>
  <c r="AC175" i="1"/>
  <c r="Y87" i="1"/>
  <c r="AC87" i="1"/>
  <c r="T178" i="1"/>
  <c r="AA178" i="1"/>
  <c r="T79" i="1"/>
  <c r="AA79" i="1"/>
  <c r="T167" i="1"/>
  <c r="AA167" i="1"/>
  <c r="T166" i="1"/>
  <c r="AA166" i="1"/>
  <c r="T179" i="1"/>
  <c r="AA179" i="1"/>
  <c r="T173" i="1"/>
  <c r="AA173" i="1"/>
  <c r="T174" i="1"/>
  <c r="AA174" i="1"/>
  <c r="W155" i="1"/>
  <c r="AB155" i="1"/>
  <c r="AD155" i="1" s="1"/>
  <c r="AC161" i="1"/>
  <c r="Y161" i="1"/>
  <c r="W174" i="1"/>
  <c r="AB174" i="1"/>
  <c r="AD174" i="1" s="1"/>
  <c r="AC33" i="1"/>
  <c r="AD33" i="1"/>
  <c r="Y33" i="1"/>
  <c r="Y56" i="1"/>
  <c r="AC56" i="1"/>
  <c r="AC177" i="1"/>
  <c r="Y177" i="1"/>
  <c r="AB180" i="1"/>
  <c r="AD180" i="1" s="1"/>
  <c r="W180" i="1"/>
  <c r="AC48" i="1"/>
  <c r="Y48" i="1"/>
  <c r="AC185" i="1"/>
  <c r="Y185" i="1"/>
  <c r="AC104" i="1"/>
  <c r="Y104" i="1"/>
  <c r="W53" i="1"/>
  <c r="Z53" i="1"/>
  <c r="AA53" i="1" s="1"/>
  <c r="AB53" i="1"/>
  <c r="AD53" i="1" s="1"/>
  <c r="AC116" i="1"/>
  <c r="Y116" i="1"/>
  <c r="Y55" i="1"/>
  <c r="AC55" i="1"/>
  <c r="AB167" i="1"/>
  <c r="AD167" i="1" s="1"/>
  <c r="W167" i="1"/>
  <c r="H55" i="1" l="1"/>
  <c r="H18" i="3"/>
  <c r="H17" i="3"/>
  <c r="H16" i="3"/>
  <c r="H15" i="3"/>
  <c r="H14" i="3"/>
  <c r="H13" i="3"/>
  <c r="H12" i="3"/>
  <c r="H11" i="3"/>
  <c r="H10" i="3"/>
  <c r="H9" i="3"/>
  <c r="H7" i="3"/>
  <c r="H6" i="3"/>
  <c r="H5" i="3"/>
  <c r="H4" i="3"/>
  <c r="P55" i="1" l="1"/>
  <c r="S55" i="1"/>
  <c r="J55" i="1"/>
  <c r="T55" i="1" s="1"/>
  <c r="H101" i="1"/>
  <c r="H127" i="1"/>
  <c r="P127" i="1" s="1"/>
  <c r="Z55" i="1" l="1"/>
  <c r="AA55" i="1" s="1"/>
  <c r="AB55" i="1"/>
  <c r="AD55" i="1" s="1"/>
  <c r="W55" i="1"/>
  <c r="P101" i="1"/>
  <c r="S101" i="1"/>
  <c r="H97" i="1"/>
  <c r="H87" i="1"/>
  <c r="H46" i="1"/>
  <c r="P46" i="1" s="1"/>
  <c r="H116" i="1"/>
  <c r="H78" i="1"/>
  <c r="H42" i="1"/>
  <c r="H56" i="1"/>
  <c r="J127" i="1"/>
  <c r="AA127" i="1" s="1"/>
  <c r="J101" i="1"/>
  <c r="T101" i="1" s="1"/>
  <c r="H129" i="1"/>
  <c r="H104" i="1"/>
  <c r="P78" i="1" l="1"/>
  <c r="S78" i="1"/>
  <c r="W101" i="1"/>
  <c r="AB101" i="1"/>
  <c r="AD101" i="1" s="1"/>
  <c r="S104" i="1"/>
  <c r="P104" i="1"/>
  <c r="P97" i="1"/>
  <c r="S97" i="1"/>
  <c r="S87" i="1"/>
  <c r="P87" i="1"/>
  <c r="P116" i="1"/>
  <c r="S116" i="1"/>
  <c r="S56" i="1"/>
  <c r="P56" i="1"/>
  <c r="P42" i="1"/>
  <c r="S42" i="1"/>
  <c r="S129" i="1"/>
  <c r="P129" i="1"/>
  <c r="J42" i="1"/>
  <c r="T42" i="1" s="1"/>
  <c r="J97" i="1"/>
  <c r="T97" i="1" s="1"/>
  <c r="J46" i="1"/>
  <c r="J56" i="1"/>
  <c r="T56" i="1" s="1"/>
  <c r="J116" i="1"/>
  <c r="J78" i="1"/>
  <c r="J87" i="1"/>
  <c r="T87" i="1" s="1"/>
  <c r="H92" i="1"/>
  <c r="H98" i="1"/>
  <c r="P98" i="1" s="1"/>
  <c r="H45" i="1"/>
  <c r="H44" i="1"/>
  <c r="H95" i="1"/>
  <c r="H43" i="1"/>
  <c r="H89" i="1"/>
  <c r="P89" i="1" s="1"/>
  <c r="H83" i="1"/>
  <c r="P83" i="1" s="1"/>
  <c r="H91" i="1"/>
  <c r="H93" i="1"/>
  <c r="H88" i="1"/>
  <c r="P88" i="1" s="1"/>
  <c r="H117" i="1"/>
  <c r="H119" i="1"/>
  <c r="P119" i="1" s="1"/>
  <c r="H94" i="1"/>
  <c r="H118" i="1"/>
  <c r="H96" i="1"/>
  <c r="H82" i="1"/>
  <c r="P82" i="1" s="1"/>
  <c r="J104" i="1"/>
  <c r="T104" i="1" s="1"/>
  <c r="J129" i="1"/>
  <c r="W42" i="1" l="1"/>
  <c r="Z42" i="1"/>
  <c r="AB42" i="1"/>
  <c r="P45" i="1"/>
  <c r="S45" i="1"/>
  <c r="P94" i="1"/>
  <c r="S94" i="1"/>
  <c r="P92" i="1"/>
  <c r="S92" i="1"/>
  <c r="P43" i="1"/>
  <c r="S43" i="1"/>
  <c r="W97" i="1"/>
  <c r="AB97" i="1"/>
  <c r="AD97" i="1" s="1"/>
  <c r="T129" i="1"/>
  <c r="AA129" i="1"/>
  <c r="AB116" i="1"/>
  <c r="AD116" i="1" s="1"/>
  <c r="W116" i="1"/>
  <c r="AB87" i="1"/>
  <c r="AD87" i="1" s="1"/>
  <c r="W87" i="1"/>
  <c r="P95" i="1"/>
  <c r="S95" i="1"/>
  <c r="T78" i="1"/>
  <c r="AA78" i="1"/>
  <c r="AB56" i="1"/>
  <c r="AD56" i="1" s="1"/>
  <c r="W56" i="1"/>
  <c r="Z56" i="1"/>
  <c r="AA56" i="1" s="1"/>
  <c r="P118" i="1"/>
  <c r="S118" i="1"/>
  <c r="P44" i="1"/>
  <c r="S44" i="1"/>
  <c r="W78" i="1"/>
  <c r="AB78" i="1"/>
  <c r="AD78" i="1" s="1"/>
  <c r="P117" i="1"/>
  <c r="S117" i="1"/>
  <c r="S93" i="1"/>
  <c r="P93" i="1"/>
  <c r="T116" i="1"/>
  <c r="AA116" i="1"/>
  <c r="S96" i="1"/>
  <c r="P96" i="1"/>
  <c r="S91" i="1"/>
  <c r="P91" i="1"/>
  <c r="AB129" i="1"/>
  <c r="W129" i="1"/>
  <c r="AB104" i="1"/>
  <c r="AD104" i="1" s="1"/>
  <c r="W104" i="1"/>
  <c r="J119" i="1"/>
  <c r="J83" i="1"/>
  <c r="J82" i="1"/>
  <c r="J89" i="1"/>
  <c r="J98" i="1"/>
  <c r="J44" i="1"/>
  <c r="T44" i="1" s="1"/>
  <c r="J92" i="1"/>
  <c r="T92" i="1" s="1"/>
  <c r="J93" i="1"/>
  <c r="T93" i="1" s="1"/>
  <c r="J96" i="1"/>
  <c r="T96" i="1" s="1"/>
  <c r="J91" i="1"/>
  <c r="T91" i="1" s="1"/>
  <c r="J117" i="1"/>
  <c r="J43" i="1"/>
  <c r="T43" i="1" s="1"/>
  <c r="J95" i="1"/>
  <c r="T95" i="1" s="1"/>
  <c r="J45" i="1"/>
  <c r="T45" i="1" s="1"/>
  <c r="J94" i="1"/>
  <c r="T94" i="1" s="1"/>
  <c r="J118" i="1"/>
  <c r="J88" i="1"/>
  <c r="W94" i="1" l="1"/>
  <c r="AB94" i="1"/>
  <c r="AD94" i="1" s="1"/>
  <c r="W43" i="1"/>
  <c r="Z43" i="1"/>
  <c r="AA43" i="1" s="1"/>
  <c r="AB43" i="1"/>
  <c r="AD43" i="1" s="1"/>
  <c r="W96" i="1"/>
  <c r="AB96" i="1"/>
  <c r="AD96" i="1" s="1"/>
  <c r="T117" i="1"/>
  <c r="AA117" i="1"/>
  <c r="T118" i="1"/>
  <c r="AA118" i="1"/>
  <c r="AB93" i="1"/>
  <c r="AD93" i="1" s="1"/>
  <c r="W93" i="1"/>
  <c r="W44" i="1"/>
  <c r="Z44" i="1"/>
  <c r="AA44" i="1" s="1"/>
  <c r="AB44" i="1"/>
  <c r="AD44" i="1" s="1"/>
  <c r="AD42" i="1"/>
  <c r="AB95" i="1"/>
  <c r="AD95" i="1" s="1"/>
  <c r="W95" i="1"/>
  <c r="W117" i="1"/>
  <c r="AB117" i="1"/>
  <c r="AD117" i="1" s="1"/>
  <c r="W92" i="1"/>
  <c r="AB92" i="1"/>
  <c r="AD92" i="1" s="1"/>
  <c r="AA42" i="1"/>
  <c r="Z45" i="1"/>
  <c r="AA45" i="1" s="1"/>
  <c r="AB45" i="1"/>
  <c r="AD45" i="1" s="1"/>
  <c r="W45" i="1"/>
  <c r="AB91" i="1"/>
  <c r="AD91" i="1" s="1"/>
  <c r="W91" i="1"/>
  <c r="AB118" i="1"/>
  <c r="AD118" i="1" s="1"/>
  <c r="W118" i="1"/>
  <c r="E200" i="1" l="1"/>
  <c r="E205" i="1" l="1"/>
  <c r="K129" i="1" l="1"/>
  <c r="K128" i="1"/>
  <c r="L129" i="1" l="1"/>
  <c r="M129" i="1"/>
  <c r="L128" i="1"/>
  <c r="M128" i="1"/>
  <c r="Q128" i="1" l="1"/>
  <c r="N128" i="1"/>
  <c r="X128" i="1"/>
  <c r="X129" i="1"/>
  <c r="N129" i="1"/>
  <c r="Q129" i="1"/>
  <c r="AC129" i="1" l="1"/>
  <c r="Y129" i="1"/>
  <c r="AD129" i="1"/>
  <c r="AD128" i="1"/>
  <c r="AC128" i="1"/>
  <c r="Y128" i="1"/>
  <c r="H58" i="3" l="1"/>
  <c r="C141" i="3"/>
  <c r="E141" i="3" s="1"/>
  <c r="C124" i="2"/>
  <c r="K139" i="1" s="1"/>
  <c r="F139" i="1"/>
  <c r="R139" i="1" l="1"/>
  <c r="I139" i="1"/>
  <c r="H139" i="1"/>
  <c r="L139" i="1"/>
  <c r="M139" i="1"/>
  <c r="Q139" i="1" l="1"/>
  <c r="N139" i="1"/>
  <c r="X139" i="1"/>
  <c r="P139" i="1"/>
  <c r="S139" i="1"/>
  <c r="J139" i="1"/>
  <c r="T139" i="1" s="1"/>
  <c r="U139" i="1"/>
  <c r="V139" i="1" s="1"/>
  <c r="AB139" i="1" l="1"/>
  <c r="AD139" i="1" s="1"/>
  <c r="W139" i="1"/>
  <c r="Y139" i="1"/>
  <c r="AC139" i="1"/>
  <c r="C147" i="3" l="1"/>
  <c r="E147" i="3" s="1"/>
  <c r="F145" i="1"/>
  <c r="C130" i="2"/>
  <c r="K145" i="1" s="1"/>
  <c r="C118" i="2"/>
  <c r="K133" i="1" s="1"/>
  <c r="F133" i="1"/>
  <c r="H62" i="3"/>
  <c r="F144" i="1"/>
  <c r="C146" i="3"/>
  <c r="E146" i="3" s="1"/>
  <c r="C129" i="2"/>
  <c r="K144" i="1" s="1"/>
  <c r="C124" i="3"/>
  <c r="E124" i="3" s="1"/>
  <c r="F122" i="1"/>
  <c r="C107" i="2"/>
  <c r="K122" i="1" s="1"/>
  <c r="H82" i="3"/>
  <c r="C148" i="3"/>
  <c r="E148" i="3" s="1"/>
  <c r="F146" i="1"/>
  <c r="C131" i="2"/>
  <c r="K146" i="1" s="1"/>
  <c r="C50" i="3"/>
  <c r="E50" i="3" s="1"/>
  <c r="F47" i="1"/>
  <c r="C33" i="2"/>
  <c r="K47" i="1" s="1"/>
  <c r="F105" i="1"/>
  <c r="C106" i="3"/>
  <c r="E106" i="3" s="1"/>
  <c r="C89" i="2"/>
  <c r="K105" i="1" s="1"/>
  <c r="C126" i="2"/>
  <c r="K141" i="1" s="1"/>
  <c r="C143" i="3"/>
  <c r="E143" i="3" s="1"/>
  <c r="F141" i="1"/>
  <c r="C90" i="3"/>
  <c r="E90" i="3" s="1"/>
  <c r="F90" i="1"/>
  <c r="C74" i="2"/>
  <c r="K90" i="1" s="1"/>
  <c r="H121" i="3"/>
  <c r="C81" i="3"/>
  <c r="E81" i="3" s="1"/>
  <c r="F81" i="1"/>
  <c r="C65" i="2"/>
  <c r="K81" i="1" s="1"/>
  <c r="C139" i="3"/>
  <c r="E139" i="3" s="1"/>
  <c r="C123" i="2"/>
  <c r="K138" i="1" s="1"/>
  <c r="C140" i="3"/>
  <c r="E140" i="3" s="1"/>
  <c r="F138" i="1"/>
  <c r="C125" i="3"/>
  <c r="E125" i="3" s="1"/>
  <c r="F123" i="1"/>
  <c r="C108" i="2"/>
  <c r="K123" i="1" s="1"/>
  <c r="K140" i="1"/>
  <c r="F140" i="1"/>
  <c r="C125" i="2"/>
  <c r="C142" i="3"/>
  <c r="E142" i="3" s="1"/>
  <c r="H150" i="3"/>
  <c r="C93" i="3"/>
  <c r="H184" i="3"/>
  <c r="C132" i="3"/>
  <c r="E132" i="3" s="1"/>
  <c r="F131" i="1"/>
  <c r="C116" i="2"/>
  <c r="K131" i="1" s="1"/>
  <c r="C133" i="3"/>
  <c r="E133" i="3" s="1"/>
  <c r="H45" i="3"/>
  <c r="C96" i="2"/>
  <c r="K111" i="1" s="1"/>
  <c r="C113" i="3"/>
  <c r="E113" i="3" s="1"/>
  <c r="F111" i="1"/>
  <c r="H67" i="3"/>
  <c r="C20" i="3"/>
  <c r="E20" i="3" s="1"/>
  <c r="H20" i="3" s="1"/>
  <c r="C3" i="2"/>
  <c r="K17" i="1" s="1"/>
  <c r="F17" i="1"/>
  <c r="C112" i="3"/>
  <c r="E112" i="3" s="1"/>
  <c r="F110" i="1"/>
  <c r="C95" i="2"/>
  <c r="K110" i="1" s="1"/>
  <c r="C111" i="3"/>
  <c r="E111" i="3" s="1"/>
  <c r="C25" i="2"/>
  <c r="K39" i="1" s="1"/>
  <c r="C42" i="3"/>
  <c r="E42" i="3" s="1"/>
  <c r="F39" i="1"/>
  <c r="C99" i="2"/>
  <c r="K114" i="1" s="1"/>
  <c r="F114" i="1"/>
  <c r="F103" i="1"/>
  <c r="C104" i="3"/>
  <c r="E104" i="3" s="1"/>
  <c r="C87" i="2"/>
  <c r="K103" i="1" s="1"/>
  <c r="C117" i="2"/>
  <c r="K132" i="1" s="1"/>
  <c r="C134" i="3"/>
  <c r="E134" i="3" s="1"/>
  <c r="F132" i="1"/>
  <c r="C107" i="3"/>
  <c r="E107" i="3" s="1"/>
  <c r="F106" i="1"/>
  <c r="C90" i="2"/>
  <c r="K106" i="1" s="1"/>
  <c r="F38" i="1"/>
  <c r="C41" i="3"/>
  <c r="E41" i="3" s="1"/>
  <c r="C24" i="2"/>
  <c r="H54" i="3"/>
  <c r="C122" i="3"/>
  <c r="E122" i="3" s="1"/>
  <c r="F120" i="1"/>
  <c r="C105" i="2"/>
  <c r="K120" i="1" s="1"/>
  <c r="H30" i="3"/>
  <c r="C103" i="3"/>
  <c r="E103" i="3" s="1"/>
  <c r="F102" i="1"/>
  <c r="C86" i="2"/>
  <c r="K102" i="1" s="1"/>
  <c r="C126" i="3"/>
  <c r="E126" i="3" s="1"/>
  <c r="F124" i="1"/>
  <c r="C109" i="2"/>
  <c r="K124" i="1" s="1"/>
  <c r="H83" i="3"/>
  <c r="C40" i="3"/>
  <c r="E40" i="3" s="1"/>
  <c r="F37" i="1"/>
  <c r="C23" i="2"/>
  <c r="C98" i="2"/>
  <c r="K113" i="1" s="1"/>
  <c r="F113" i="1"/>
  <c r="C115" i="3"/>
  <c r="E115" i="3" s="1"/>
  <c r="C37" i="3"/>
  <c r="E37" i="3" s="1"/>
  <c r="F34" i="1"/>
  <c r="C20" i="2"/>
  <c r="K34" i="1" s="1"/>
  <c r="H171" i="3"/>
  <c r="C108" i="3"/>
  <c r="E108" i="3" s="1"/>
  <c r="F107" i="1"/>
  <c r="C91" i="2"/>
  <c r="K107" i="1" s="1"/>
  <c r="C114" i="3"/>
  <c r="E114" i="3" s="1"/>
  <c r="F112" i="1"/>
  <c r="C97" i="2"/>
  <c r="K112" i="1" s="1"/>
  <c r="C26" i="2"/>
  <c r="K40" i="1" s="1"/>
  <c r="C43" i="3"/>
  <c r="E43" i="3" s="1"/>
  <c r="F40" i="1"/>
  <c r="C68" i="2"/>
  <c r="K84" i="1" s="1"/>
  <c r="C84" i="3"/>
  <c r="E84" i="3" s="1"/>
  <c r="F84" i="1"/>
  <c r="H170" i="3"/>
  <c r="H160" i="3"/>
  <c r="F125" i="1"/>
  <c r="C110" i="2"/>
  <c r="K125" i="1" s="1"/>
  <c r="H185" i="3"/>
  <c r="C123" i="3"/>
  <c r="E123" i="3" s="1"/>
  <c r="F121" i="1"/>
  <c r="C106" i="2"/>
  <c r="K121" i="1" s="1"/>
  <c r="C145" i="3"/>
  <c r="E145" i="3" s="1"/>
  <c r="F143" i="1"/>
  <c r="C128" i="2"/>
  <c r="K143" i="1" s="1"/>
  <c r="H42" i="3" l="1"/>
  <c r="H104" i="3"/>
  <c r="H93" i="3"/>
  <c r="E93" i="3"/>
  <c r="H90" i="3"/>
  <c r="H146" i="3"/>
  <c r="L103" i="1"/>
  <c r="M103" i="1"/>
  <c r="I111" i="1"/>
  <c r="H111" i="1"/>
  <c r="H108" i="3"/>
  <c r="H123" i="1"/>
  <c r="I123" i="1"/>
  <c r="I141" i="1"/>
  <c r="R141" i="1"/>
  <c r="U141" i="1" s="1"/>
  <c r="V141" i="1" s="1"/>
  <c r="H141" i="1"/>
  <c r="M133" i="1"/>
  <c r="L133" i="1"/>
  <c r="H148" i="3"/>
  <c r="H49" i="3"/>
  <c r="L143" i="1"/>
  <c r="M143" i="1"/>
  <c r="L40" i="1"/>
  <c r="M40" i="1"/>
  <c r="H37" i="1"/>
  <c r="I37" i="1"/>
  <c r="I102" i="1"/>
  <c r="H102" i="1"/>
  <c r="I120" i="1"/>
  <c r="H120" i="1"/>
  <c r="H64" i="3"/>
  <c r="H38" i="1"/>
  <c r="I38" i="1"/>
  <c r="P17" i="1"/>
  <c r="R17" i="1"/>
  <c r="H17" i="1"/>
  <c r="I17" i="1"/>
  <c r="H180" i="3"/>
  <c r="H165" i="3"/>
  <c r="H132" i="3"/>
  <c r="H114" i="3"/>
  <c r="H134" i="3"/>
  <c r="H111" i="3"/>
  <c r="H21" i="3"/>
  <c r="L146" i="1"/>
  <c r="M146" i="1"/>
  <c r="L144" i="1"/>
  <c r="M144" i="1"/>
  <c r="M145" i="1"/>
  <c r="L145" i="1"/>
  <c r="H168" i="3"/>
  <c r="H35" i="3"/>
  <c r="R143" i="1"/>
  <c r="U143" i="1" s="1"/>
  <c r="V143" i="1" s="1"/>
  <c r="I143" i="1"/>
  <c r="H143" i="1"/>
  <c r="L112" i="1"/>
  <c r="M112" i="1"/>
  <c r="L34" i="1"/>
  <c r="M34" i="1"/>
  <c r="H25" i="3"/>
  <c r="H94" i="3"/>
  <c r="H163" i="3"/>
  <c r="H191" i="3"/>
  <c r="H196" i="3"/>
  <c r="H164" i="3"/>
  <c r="H40" i="3"/>
  <c r="H179" i="3"/>
  <c r="H113" i="3"/>
  <c r="H142" i="3"/>
  <c r="H102" i="3"/>
  <c r="H96" i="3"/>
  <c r="H73" i="3"/>
  <c r="L106" i="1"/>
  <c r="M106" i="1"/>
  <c r="I103" i="1"/>
  <c r="H103" i="1"/>
  <c r="H39" i="1"/>
  <c r="I39" i="1"/>
  <c r="Q17" i="1"/>
  <c r="L17" i="1"/>
  <c r="M17" i="1"/>
  <c r="M111" i="1"/>
  <c r="L111" i="1"/>
  <c r="H66" i="3"/>
  <c r="H143" i="3"/>
  <c r="H118" i="3"/>
  <c r="H126" i="3"/>
  <c r="H47" i="3"/>
  <c r="H173" i="3"/>
  <c r="H46" i="3"/>
  <c r="H159" i="3"/>
  <c r="I138" i="1"/>
  <c r="H138" i="1"/>
  <c r="R138" i="1"/>
  <c r="U138" i="1" s="1"/>
  <c r="V138" i="1" s="1"/>
  <c r="M141" i="1"/>
  <c r="L141" i="1"/>
  <c r="R146" i="1"/>
  <c r="U146" i="1" s="1"/>
  <c r="V146" i="1" s="1"/>
  <c r="I146" i="1"/>
  <c r="H146" i="1"/>
  <c r="R145" i="1"/>
  <c r="U145" i="1" s="1"/>
  <c r="V145" i="1" s="1"/>
  <c r="I145" i="1"/>
  <c r="H145" i="1"/>
  <c r="H27" i="3"/>
  <c r="L102" i="1"/>
  <c r="M102" i="1"/>
  <c r="H51" i="3"/>
  <c r="H59" i="3"/>
  <c r="H69" i="3"/>
  <c r="I106" i="1"/>
  <c r="H106" i="1"/>
  <c r="H114" i="1"/>
  <c r="J114" i="1" s="1"/>
  <c r="I114" i="1"/>
  <c r="H156" i="3"/>
  <c r="H192" i="3"/>
  <c r="H43" i="3"/>
  <c r="H37" i="3"/>
  <c r="L105" i="1"/>
  <c r="M105" i="1"/>
  <c r="H24" i="3"/>
  <c r="H174" i="3"/>
  <c r="H136" i="3"/>
  <c r="R144" i="1"/>
  <c r="U144" i="1" s="1"/>
  <c r="V144" i="1" s="1"/>
  <c r="I144" i="1"/>
  <c r="H144" i="1"/>
  <c r="H76" i="3"/>
  <c r="H123" i="3"/>
  <c r="H88" i="3"/>
  <c r="H63" i="3"/>
  <c r="H60" i="3"/>
  <c r="H71" i="3"/>
  <c r="H128" i="3"/>
  <c r="H72" i="3"/>
  <c r="H122" i="3"/>
  <c r="H52" i="3"/>
  <c r="H177" i="3"/>
  <c r="M39" i="1"/>
  <c r="L39" i="1"/>
  <c r="H87" i="3"/>
  <c r="H133" i="3"/>
  <c r="H169" i="3"/>
  <c r="H166" i="3"/>
  <c r="H117" i="3"/>
  <c r="H189" i="3"/>
  <c r="H39" i="3"/>
  <c r="H153" i="3"/>
  <c r="M138" i="1"/>
  <c r="L138" i="1"/>
  <c r="H92" i="3"/>
  <c r="H32" i="3"/>
  <c r="H74" i="3"/>
  <c r="H141" i="3"/>
  <c r="H129" i="3"/>
  <c r="H89" i="3"/>
  <c r="H145" i="3"/>
  <c r="H193" i="3"/>
  <c r="H65" i="3"/>
  <c r="H50" i="3"/>
  <c r="I132" i="1"/>
  <c r="H132" i="1"/>
  <c r="M114" i="1"/>
  <c r="L114" i="1"/>
  <c r="N114" i="1" s="1"/>
  <c r="H181" i="3"/>
  <c r="H109" i="3"/>
  <c r="H112" i="3"/>
  <c r="H140" i="1"/>
  <c r="I140" i="1"/>
  <c r="L90" i="1"/>
  <c r="M90" i="1"/>
  <c r="H105" i="1"/>
  <c r="I105" i="1"/>
  <c r="R105" i="1"/>
  <c r="U105" i="1" s="1"/>
  <c r="V105" i="1" s="1"/>
  <c r="H106" i="3"/>
  <c r="H79" i="3"/>
  <c r="H175" i="3"/>
  <c r="H120" i="3"/>
  <c r="H36" i="3"/>
  <c r="H55" i="3"/>
  <c r="H115" i="3"/>
  <c r="L120" i="1"/>
  <c r="M120" i="1"/>
  <c r="H139" i="3"/>
  <c r="H140" i="3"/>
  <c r="I112" i="1"/>
  <c r="H112" i="1"/>
  <c r="H161" i="3"/>
  <c r="I84" i="1"/>
  <c r="H84" i="1"/>
  <c r="H125" i="3"/>
  <c r="H103" i="3"/>
  <c r="H190" i="3"/>
  <c r="H95" i="3"/>
  <c r="H155" i="3"/>
  <c r="H81" i="3"/>
  <c r="L125" i="1"/>
  <c r="M125" i="1"/>
  <c r="M107" i="1"/>
  <c r="L107" i="1"/>
  <c r="M124" i="1"/>
  <c r="L124" i="1"/>
  <c r="M121" i="1"/>
  <c r="L121" i="1"/>
  <c r="M84" i="1"/>
  <c r="L84" i="1"/>
  <c r="R107" i="1"/>
  <c r="U107" i="1" s="1"/>
  <c r="V107" i="1" s="1"/>
  <c r="I107" i="1"/>
  <c r="H107" i="1"/>
  <c r="I113" i="1"/>
  <c r="H113" i="1"/>
  <c r="I124" i="1"/>
  <c r="H124" i="1"/>
  <c r="H130" i="3"/>
  <c r="H48" i="3"/>
  <c r="H157" i="3"/>
  <c r="H29" i="3"/>
  <c r="H97" i="3"/>
  <c r="H22" i="3"/>
  <c r="H33" i="3"/>
  <c r="H98" i="3"/>
  <c r="H56" i="3"/>
  <c r="H137" i="3"/>
  <c r="H84" i="3"/>
  <c r="H105" i="3"/>
  <c r="H107" i="3"/>
  <c r="L110" i="1"/>
  <c r="M110" i="1"/>
  <c r="H124" i="3"/>
  <c r="L131" i="1"/>
  <c r="M131" i="1"/>
  <c r="H68" i="3"/>
  <c r="H78" i="3"/>
  <c r="H99" i="3"/>
  <c r="H100" i="3"/>
  <c r="H41" i="3"/>
  <c r="H75" i="3"/>
  <c r="H26" i="3"/>
  <c r="M140" i="1"/>
  <c r="L140" i="1"/>
  <c r="L81" i="1"/>
  <c r="M81" i="1"/>
  <c r="I90" i="1"/>
  <c r="H90" i="1"/>
  <c r="L47" i="1"/>
  <c r="M47" i="1"/>
  <c r="M122" i="1"/>
  <c r="L122" i="1"/>
  <c r="H133" i="1"/>
  <c r="I133" i="1"/>
  <c r="H23" i="3"/>
  <c r="H147" i="3"/>
  <c r="H91" i="3"/>
  <c r="I34" i="1"/>
  <c r="H34" i="1"/>
  <c r="H85" i="3"/>
  <c r="H38" i="3"/>
  <c r="H151" i="3"/>
  <c r="H121" i="1"/>
  <c r="I121" i="1"/>
  <c r="I125" i="1"/>
  <c r="H125" i="1"/>
  <c r="I40" i="1"/>
  <c r="H40" i="1"/>
  <c r="L113" i="1"/>
  <c r="M113" i="1"/>
  <c r="H119" i="3"/>
  <c r="M132" i="1"/>
  <c r="L132" i="1"/>
  <c r="I110" i="1"/>
  <c r="H110" i="1"/>
  <c r="H131" i="1"/>
  <c r="I131" i="1"/>
  <c r="H28" i="3"/>
  <c r="H182" i="3"/>
  <c r="M123" i="1"/>
  <c r="L123" i="1"/>
  <c r="I81" i="1"/>
  <c r="H81" i="1"/>
  <c r="I47" i="1"/>
  <c r="H47" i="1"/>
  <c r="H194" i="3"/>
  <c r="H187" i="3"/>
  <c r="H176" i="3"/>
  <c r="I122" i="1"/>
  <c r="H122" i="1"/>
  <c r="Q47" i="1" l="1"/>
  <c r="N47" i="1"/>
  <c r="Q131" i="1"/>
  <c r="N131" i="1"/>
  <c r="Q39" i="1"/>
  <c r="N39" i="1"/>
  <c r="P145" i="1"/>
  <c r="S145" i="1"/>
  <c r="J145" i="1"/>
  <c r="T145" i="1" s="1"/>
  <c r="S17" i="1"/>
  <c r="J17" i="1"/>
  <c r="J195" i="1" s="1"/>
  <c r="N143" i="1"/>
  <c r="X143" i="1"/>
  <c r="Q143" i="1"/>
  <c r="S122" i="1"/>
  <c r="P122" i="1"/>
  <c r="J122" i="1"/>
  <c r="AA122" i="1" s="1"/>
  <c r="P90" i="1"/>
  <c r="J90" i="1"/>
  <c r="P103" i="1"/>
  <c r="J103" i="1"/>
  <c r="P111" i="1"/>
  <c r="J111" i="1"/>
  <c r="P138" i="1"/>
  <c r="S138" i="1"/>
  <c r="J138" i="1"/>
  <c r="T138" i="1" s="1"/>
  <c r="J39" i="1"/>
  <c r="P39" i="1"/>
  <c r="X34" i="1"/>
  <c r="N34" i="1"/>
  <c r="Q34" i="1"/>
  <c r="Q144" i="1"/>
  <c r="X144" i="1"/>
  <c r="N144" i="1"/>
  <c r="R195" i="1"/>
  <c r="U17" i="1"/>
  <c r="U195" i="1" s="1"/>
  <c r="Q133" i="1"/>
  <c r="N133" i="1"/>
  <c r="P81" i="1"/>
  <c r="J81" i="1"/>
  <c r="J34" i="1"/>
  <c r="T34" i="1" s="1"/>
  <c r="S34" i="1"/>
  <c r="P34" i="1"/>
  <c r="Q110" i="1"/>
  <c r="N110" i="1"/>
  <c r="N107" i="1"/>
  <c r="Q107" i="1"/>
  <c r="X107" i="1"/>
  <c r="P105" i="1"/>
  <c r="S105" i="1"/>
  <c r="J105" i="1"/>
  <c r="T105" i="1" s="1"/>
  <c r="N105" i="1"/>
  <c r="Q105" i="1"/>
  <c r="X105" i="1"/>
  <c r="S146" i="1"/>
  <c r="P146" i="1"/>
  <c r="J146" i="1"/>
  <c r="T146" i="1" s="1"/>
  <c r="N111" i="1"/>
  <c r="Q111" i="1"/>
  <c r="Q112" i="1"/>
  <c r="N112" i="1"/>
  <c r="Q146" i="1"/>
  <c r="N146" i="1"/>
  <c r="X146" i="1"/>
  <c r="S141" i="1"/>
  <c r="P141" i="1"/>
  <c r="J141" i="1"/>
  <c r="T141" i="1" s="1"/>
  <c r="J131" i="1"/>
  <c r="P131" i="1"/>
  <c r="N113" i="1"/>
  <c r="Q113" i="1"/>
  <c r="J133" i="1"/>
  <c r="P133" i="1"/>
  <c r="N81" i="1"/>
  <c r="Q81" i="1"/>
  <c r="Q84" i="1"/>
  <c r="N84" i="1"/>
  <c r="J106" i="1"/>
  <c r="P106" i="1"/>
  <c r="S143" i="1"/>
  <c r="J143" i="1"/>
  <c r="T143" i="1" s="1"/>
  <c r="P143" i="1"/>
  <c r="P38" i="1"/>
  <c r="J38" i="1"/>
  <c r="J37" i="1"/>
  <c r="P37" i="1"/>
  <c r="P47" i="1"/>
  <c r="J47" i="1"/>
  <c r="P144" i="1"/>
  <c r="S144" i="1"/>
  <c r="J144" i="1"/>
  <c r="T144" i="1" s="1"/>
  <c r="N123" i="1"/>
  <c r="X123" i="1"/>
  <c r="P110" i="1"/>
  <c r="J110" i="1"/>
  <c r="P40" i="1"/>
  <c r="J40" i="1"/>
  <c r="X122" i="1"/>
  <c r="N122" i="1"/>
  <c r="Q122" i="1"/>
  <c r="N140" i="1"/>
  <c r="Q140" i="1"/>
  <c r="P124" i="1"/>
  <c r="J124" i="1"/>
  <c r="AA124" i="1" s="1"/>
  <c r="N90" i="1"/>
  <c r="Q90" i="1"/>
  <c r="Q102" i="1"/>
  <c r="N102" i="1"/>
  <c r="N106" i="1"/>
  <c r="Q106" i="1"/>
  <c r="Q103" i="1"/>
  <c r="N103" i="1"/>
  <c r="P107" i="1"/>
  <c r="J107" i="1"/>
  <c r="T107" i="1" s="1"/>
  <c r="S107" i="1"/>
  <c r="Q124" i="1"/>
  <c r="N124" i="1"/>
  <c r="P102" i="1"/>
  <c r="J102" i="1"/>
  <c r="P121" i="1"/>
  <c r="J121" i="1"/>
  <c r="AA121" i="1" s="1"/>
  <c r="S121" i="1"/>
  <c r="P112" i="1"/>
  <c r="J112" i="1"/>
  <c r="N120" i="1"/>
  <c r="Q120" i="1"/>
  <c r="X121" i="1"/>
  <c r="N121" i="1"/>
  <c r="Q121" i="1"/>
  <c r="Q125" i="1"/>
  <c r="N125" i="1"/>
  <c r="J84" i="1"/>
  <c r="P84" i="1"/>
  <c r="X138" i="1"/>
  <c r="Q138" i="1"/>
  <c r="N138" i="1"/>
  <c r="X141" i="1"/>
  <c r="Q141" i="1"/>
  <c r="N141" i="1"/>
  <c r="X17" i="1"/>
  <c r="N17" i="1"/>
  <c r="N145" i="1"/>
  <c r="X145" i="1"/>
  <c r="Q145" i="1"/>
  <c r="N40" i="1"/>
  <c r="Q40" i="1"/>
  <c r="N132" i="1"/>
  <c r="Q132" i="1"/>
  <c r="J125" i="1"/>
  <c r="AA125" i="1" s="1"/>
  <c r="P125" i="1"/>
  <c r="P113" i="1"/>
  <c r="J113" i="1"/>
  <c r="P140" i="1"/>
  <c r="J140" i="1"/>
  <c r="P132" i="1"/>
  <c r="J132" i="1"/>
  <c r="P120" i="1"/>
  <c r="J120" i="1"/>
  <c r="S123" i="1"/>
  <c r="J123" i="1"/>
  <c r="AC141" i="1" l="1"/>
  <c r="Y141" i="1"/>
  <c r="V17" i="1"/>
  <c r="V195" i="1" s="1"/>
  <c r="AC34" i="1"/>
  <c r="Y34" i="1"/>
  <c r="AC143" i="1"/>
  <c r="Y143" i="1"/>
  <c r="AB123" i="1"/>
  <c r="T123" i="1"/>
  <c r="W123" i="1"/>
  <c r="Y145" i="1"/>
  <c r="AC145" i="1"/>
  <c r="Y121" i="1"/>
  <c r="AC121" i="1"/>
  <c r="W144" i="1"/>
  <c r="AB144" i="1"/>
  <c r="AD144" i="1" s="1"/>
  <c r="AB105" i="1"/>
  <c r="AD105" i="1" s="1"/>
  <c r="W105" i="1"/>
  <c r="Z34" i="1"/>
  <c r="AB34" i="1"/>
  <c r="AD34" i="1" s="1"/>
  <c r="W34" i="1"/>
  <c r="T17" i="1"/>
  <c r="E201" i="1"/>
  <c r="AC138" i="1"/>
  <c r="Y138" i="1"/>
  <c r="W141" i="1"/>
  <c r="AB141" i="1"/>
  <c r="AD141" i="1" s="1"/>
  <c r="W17" i="1"/>
  <c r="S195" i="1"/>
  <c r="AB17" i="1"/>
  <c r="AC123" i="1"/>
  <c r="Y123" i="1"/>
  <c r="W143" i="1"/>
  <c r="AB143" i="1"/>
  <c r="AD143" i="1" s="1"/>
  <c r="AC146" i="1"/>
  <c r="Y146" i="1"/>
  <c r="AC107" i="1"/>
  <c r="Y107" i="1"/>
  <c r="Y144" i="1"/>
  <c r="AC144" i="1"/>
  <c r="W138" i="1"/>
  <c r="AB138" i="1"/>
  <c r="AD138" i="1" s="1"/>
  <c r="AC17" i="1"/>
  <c r="Y17" i="1"/>
  <c r="X195" i="1"/>
  <c r="AB146" i="1"/>
  <c r="AD146" i="1" s="1"/>
  <c r="W146" i="1"/>
  <c r="AB145" i="1"/>
  <c r="AD145" i="1" s="1"/>
  <c r="W145" i="1"/>
  <c r="AB107" i="1"/>
  <c r="AD107" i="1" s="1"/>
  <c r="W107" i="1"/>
  <c r="Y105" i="1"/>
  <c r="AC105" i="1"/>
  <c r="T122" i="1"/>
  <c r="W122" i="1"/>
  <c r="AB122" i="1"/>
  <c r="AD122" i="1" s="1"/>
  <c r="T121" i="1"/>
  <c r="W121" i="1"/>
  <c r="AB121" i="1"/>
  <c r="AD121" i="1" s="1"/>
  <c r="AC122" i="1"/>
  <c r="Y122" i="1"/>
  <c r="AB195" i="1" l="1"/>
  <c r="E197" i="1" s="1"/>
  <c r="E198" i="1" s="1"/>
  <c r="T195" i="1"/>
  <c r="Y195" i="1"/>
  <c r="W195" i="1"/>
  <c r="AC195" i="1"/>
  <c r="E199" i="1" s="1"/>
  <c r="AA34" i="1"/>
  <c r="AA195" i="1" s="1"/>
  <c r="Z195" i="1"/>
  <c r="G12" i="1"/>
  <c r="E202" i="1"/>
  <c r="H202" i="1" s="1"/>
  <c r="E203" i="1" l="1"/>
  <c r="G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tc={0639C2A0-C64D-40E9-ADDE-3F326F337301}</author>
  </authors>
  <commentList>
    <comment ref="A96" authorId="0" shapeId="0" xr:uid="{0639C2A0-C64D-40E9-ADDE-3F326F3373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200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tc={BF0DA813-10D7-4915-97A5-8DD789A1E922}</author>
    <author>tc={7FD7D66C-1680-46AD-80A2-EE02B829E5CC}</author>
    <author>tc={FC20D786-9C9D-4956-96C6-6FAF15796D14}</author>
  </authors>
  <commentList>
    <comment ref="A51" authorId="0" shapeId="0" xr:uid="{BF0DA813-10D7-4915-97A5-8DD789A1E9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L3P-PS940-100</t>
      </text>
    </comment>
    <comment ref="B51" authorId="1" shapeId="0" xr:uid="{7FD7D66C-1680-46AD-80A2-EE02B829E5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Plastico ABS é inferior e não tao forte quanto o PPS</t>
      </text>
    </comment>
    <comment ref="C57" authorId="2" shapeId="0" xr:uid="{FC20D786-9C9D-4956-96C6-6FAF15796D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Retirar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tc={A4F573BE-083B-4F0F-AB18-7E8ADD2EB569}</author>
    <author>tc={9E699A53-9F09-4376-B50E-AC86837FF9B5}</author>
    <author>tc={15C3221B-AB16-44D5-B4F3-1FF318A3B52B}</author>
    <author>tc={9D830879-A893-4EC5-9603-F95B0B6C9D7E}</author>
  </authors>
  <commentList>
    <comment ref="A135" authorId="0" shapeId="0" xr:uid="{A4F573BE-083B-4F0F-AB18-7E8ADD2EB5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L3P-PS940-100</t>
      </text>
    </comment>
    <comment ref="B135" authorId="1" shapeId="0" xr:uid="{9E699A53-9F09-4376-B50E-AC86837FF9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Plastico ABS é inferior e não tao forte quanto o PPS</t>
      </text>
    </comment>
    <comment ref="C144" authorId="2" shapeId="0" xr:uid="{15C3221B-AB16-44D5-B4F3-1FF318A3B5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Retirar </t>
      </text>
    </comment>
    <comment ref="A169" authorId="3" shapeId="0" xr:uid="{9D830879-A893-4EC5-9603-F95B0B6C9D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Jaco alterou dia 08/07 - estava antes 42003 que é era o mesmo da placa pro4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tc={7C6A073C-4D5B-4045-B9AC-3BDA99382F81}</author>
    <author>tc={859B758D-2D3A-43B7-A81C-6FC25A464137}</author>
    <author>tc={3C23C0BC-7AF5-4859-A634-019ADEA93350}</author>
    <author>tc={D56BA27D-2A37-4774-9D9D-190EE7862865}</author>
  </authors>
  <commentList>
    <comment ref="B134" authorId="0" shapeId="0" xr:uid="{7C6A073C-4D5B-4045-B9AC-3BDA99382F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L3P-PS940-100</t>
      </text>
    </comment>
    <comment ref="D145" authorId="1" shapeId="0" xr:uid="{859B758D-2D3A-43B7-A81C-6FC25A4641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L3P-PS940-100</t>
      </text>
    </comment>
    <comment ref="B169" authorId="2" shapeId="0" xr:uid="{3C23C0BC-7AF5-4859-A634-019ADEA933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Jaco alterou dia 08/07 - estava antes 42003 que é era o mesmo da placa pro4</t>
      </text>
    </comment>
    <comment ref="D187" authorId="3" shapeId="0" xr:uid="{D56BA27D-2A37-4774-9D9D-190EE78628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Jaco alterou dia 08/07 - estava antes 42003 que é era o mesmo da placa pro4</t>
      </text>
    </comment>
  </commentList>
</comments>
</file>

<file path=xl/sharedStrings.xml><?xml version="1.0" encoding="utf-8"?>
<sst xmlns="http://schemas.openxmlformats.org/spreadsheetml/2006/main" count="3480" uniqueCount="1268">
  <si>
    <t>Vigência</t>
  </si>
  <si>
    <t xml:space="preserve">Razão Social: </t>
  </si>
  <si>
    <t xml:space="preserve">CNPJ: </t>
  </si>
  <si>
    <t>I.E e I.M:</t>
  </si>
  <si>
    <t>CEP:</t>
  </si>
  <si>
    <t>Endereço:</t>
  </si>
  <si>
    <t>Bairro:</t>
  </si>
  <si>
    <t>Cidade e Estado:</t>
  </si>
  <si>
    <t xml:space="preserve">Tel e Cel: </t>
  </si>
  <si>
    <t xml:space="preserve">E-mail: </t>
  </si>
  <si>
    <t xml:space="preserve">Selecione ao lado a tabela a vista ou a prazo </t>
  </si>
  <si>
    <t>Vendedor:</t>
  </si>
  <si>
    <t>CÓDIGO</t>
  </si>
  <si>
    <t>COD. DE BARRAS</t>
  </si>
  <si>
    <t>Máquinas de Tosa Oster</t>
  </si>
  <si>
    <t>QUANTIDADE</t>
  </si>
  <si>
    <t>TOTAL PRODUTOS</t>
  </si>
  <si>
    <t xml:space="preserve">Máquina de Tosa A6 Slim Azul Turquesa Bivolt Oster </t>
  </si>
  <si>
    <t>Lâminas de Tosa Oster</t>
  </si>
  <si>
    <t xml:space="preserve">Lâmina de Tosa 40 Baixa Oster </t>
  </si>
  <si>
    <t xml:space="preserve">Lâmina de Tosa 15 Baixa Oster </t>
  </si>
  <si>
    <t xml:space="preserve">Lâmina de Tosa 7F Média Oster </t>
  </si>
  <si>
    <t xml:space="preserve">Lâmina de Tosa 5/8 Patinha Média Oster </t>
  </si>
  <si>
    <t xml:space="preserve">Lâmina de Tosa 4F Alta Oster </t>
  </si>
  <si>
    <t xml:space="preserve">Lâmina de Tosa 3F Super Alta Oster </t>
  </si>
  <si>
    <t xml:space="preserve">Máquinas de Tosa Propetz </t>
  </si>
  <si>
    <t>8808-600-000</t>
  </si>
  <si>
    <r>
      <t xml:space="preserve">Máquina de tosa PRO6 Propetz </t>
    </r>
    <r>
      <rPr>
        <b/>
        <sz val="10"/>
        <color theme="1"/>
        <rFont val="Calibri"/>
        <family val="2"/>
        <scheme val="minor"/>
      </rPr>
      <t xml:space="preserve">PRETA </t>
    </r>
    <r>
      <rPr>
        <sz val="10"/>
        <color theme="1"/>
        <rFont val="Calibri"/>
        <family val="2"/>
        <scheme val="minor"/>
      </rPr>
      <t xml:space="preserve">Profissional Acabamento, Bivolt </t>
    </r>
  </si>
  <si>
    <t>8808-320-000</t>
  </si>
  <si>
    <t>8808-300-000</t>
  </si>
  <si>
    <t>L2AP67F-100</t>
  </si>
  <si>
    <t>7898670762556</t>
  </si>
  <si>
    <t>L2AP64F-100</t>
  </si>
  <si>
    <t>7898670762570</t>
  </si>
  <si>
    <t>L2AP63F-100</t>
  </si>
  <si>
    <t>7898670762600</t>
  </si>
  <si>
    <t>L2AP4-100</t>
  </si>
  <si>
    <t>7898670762587</t>
  </si>
  <si>
    <t>L2PMO3-100</t>
  </si>
  <si>
    <t>7898670762594</t>
  </si>
  <si>
    <t>L1PTC40-100</t>
  </si>
  <si>
    <t>L1PTC30-100</t>
  </si>
  <si>
    <t>C1LRP-100</t>
  </si>
  <si>
    <t>7898670762631</t>
  </si>
  <si>
    <r>
      <t xml:space="preserve">Cortante II de Cerâmica Lâminas Propetz - </t>
    </r>
    <r>
      <rPr>
        <b/>
        <sz val="10"/>
        <color theme="1"/>
        <rFont val="Calibri"/>
        <family val="2"/>
        <scheme val="minor"/>
      </rPr>
      <t>Para lâminas n.10,15,30,3F,4F,5F e 7F</t>
    </r>
  </si>
  <si>
    <t>Kit de Adaptadores Propetz</t>
  </si>
  <si>
    <t>KAI1P-100</t>
  </si>
  <si>
    <t>7898670762617</t>
  </si>
  <si>
    <t xml:space="preserve">Kit de Adaptadores de Inox Propetz Laminas Profissionais 08 Peças </t>
  </si>
  <si>
    <t>Escovas Propetz</t>
  </si>
  <si>
    <t>7898670761153</t>
  </si>
  <si>
    <t>C1SBGA-100</t>
  </si>
  <si>
    <t>7898670760095</t>
  </si>
  <si>
    <t>C1SBMA-100</t>
  </si>
  <si>
    <t>7898670760118</t>
  </si>
  <si>
    <t>C1EP-MSBD-200</t>
  </si>
  <si>
    <t>7898670762693</t>
  </si>
  <si>
    <t>C1EP-GSBD-200</t>
  </si>
  <si>
    <t>7898670762709</t>
  </si>
  <si>
    <t xml:space="preserve">Escova Premium Pinos s/ Bolinha Grande Black Propetz </t>
  </si>
  <si>
    <t>Rasqueadeiras Propetz</t>
  </si>
  <si>
    <t>E1RPGD-200</t>
  </si>
  <si>
    <t>7898670762716</t>
  </si>
  <si>
    <t>Rasqueadeira Premium Reta Grande Pinos Firmes Black Propetz</t>
  </si>
  <si>
    <t>E1RP-GDPM-200</t>
  </si>
  <si>
    <t>7898670762723</t>
  </si>
  <si>
    <t xml:space="preserve">Rasqueadeira Premium Reta Grande Pinos Macio Black Propetz </t>
  </si>
  <si>
    <t>E1CP-MD-PLD-200</t>
  </si>
  <si>
    <t>7898670762730</t>
  </si>
  <si>
    <t xml:space="preserve">Rasqueadeira Premium Curva Media Pinos Longos Firmes Black Propetz </t>
  </si>
  <si>
    <t>E1CP-MD-PLR-200</t>
  </si>
  <si>
    <t>7898670762747</t>
  </si>
  <si>
    <t xml:space="preserve">Rasqueadeira Premium Curva Media Pinos Longos Regulares Black Propetz </t>
  </si>
  <si>
    <t xml:space="preserve">Rasqueadeira Clássica Reta Média Azul Propetz </t>
  </si>
  <si>
    <t xml:space="preserve">Rasqueadeira Clássica Reta Micro Azul Propetz </t>
  </si>
  <si>
    <t xml:space="preserve">Rasqueadeira Reta c/ Bolinha Grande Azul Propetz </t>
  </si>
  <si>
    <t>E1RBMA-100</t>
  </si>
  <si>
    <t>7898670761344</t>
  </si>
  <si>
    <t xml:space="preserve">Rasqueadeira Reta c/ Bolinha Média Azul Propetz </t>
  </si>
  <si>
    <t>E1CBGA-100</t>
  </si>
  <si>
    <t>7898670760255</t>
  </si>
  <si>
    <t xml:space="preserve">Rasqueadeira Curva c/ Bolinha Grande Azul Propetz </t>
  </si>
  <si>
    <t>7898670760927</t>
  </si>
  <si>
    <t>E1FPGA-100</t>
  </si>
  <si>
    <t>7898670760378</t>
  </si>
  <si>
    <t>Pentes Propetz</t>
  </si>
  <si>
    <t>F119A50-100</t>
  </si>
  <si>
    <t>7898670760446</t>
  </si>
  <si>
    <t>F125A50-100</t>
  </si>
  <si>
    <t>7898670760484</t>
  </si>
  <si>
    <t xml:space="preserve">Pente 25cm Duplo Alumínio Azul Propetz </t>
  </si>
  <si>
    <t>F130A50-100</t>
  </si>
  <si>
    <t>7898670760385</t>
  </si>
  <si>
    <t>L1PCPA-100</t>
  </si>
  <si>
    <t>7898670760545</t>
  </si>
  <si>
    <t>L1PPMA-100</t>
  </si>
  <si>
    <t>7898670760569</t>
  </si>
  <si>
    <r>
      <t xml:space="preserve">Pente p/ </t>
    </r>
    <r>
      <rPr>
        <b/>
        <sz val="10"/>
        <color theme="1"/>
        <rFont val="Calibri"/>
        <family val="2"/>
        <scheme val="minor"/>
      </rPr>
      <t>Topete</t>
    </r>
    <r>
      <rPr>
        <sz val="10"/>
        <color theme="1"/>
        <rFont val="Calibri"/>
        <family val="2"/>
        <scheme val="minor"/>
      </rPr>
      <t xml:space="preserve"> Azul Propetz </t>
    </r>
  </si>
  <si>
    <t>Tira Laço Azul Propetz</t>
  </si>
  <si>
    <t xml:space="preserve">CÓDIGO </t>
  </si>
  <si>
    <t>Pentes Akemi Propetz</t>
  </si>
  <si>
    <t>F119-AKA-100</t>
  </si>
  <si>
    <t>7898670762648</t>
  </si>
  <si>
    <t xml:space="preserve">Pente 19cm Akemi Aluminio Propetz </t>
  </si>
  <si>
    <t>F119-AKI-100</t>
  </si>
  <si>
    <t>7898670762662</t>
  </si>
  <si>
    <t xml:space="preserve">Pente 19cm Akemi Aço Inox Propetz </t>
  </si>
  <si>
    <t>F125-AKA-100</t>
  </si>
  <si>
    <t>7898670762655</t>
  </si>
  <si>
    <t>Pente 23cm Akemi Aluminio Propetz</t>
  </si>
  <si>
    <t>F125-AKI-100</t>
  </si>
  <si>
    <t>7898670762679</t>
  </si>
  <si>
    <t>Pente 23cm Akemi Aço Inox Propetz</t>
  </si>
  <si>
    <t>Desemboladores &amp; Rakes Propetz</t>
  </si>
  <si>
    <t>H1DMBA-100</t>
  </si>
  <si>
    <t>7898670761382</t>
  </si>
  <si>
    <t xml:space="preserve">Desembolador MatBreaker Azul Propetz </t>
  </si>
  <si>
    <t xml:space="preserve">Desembolador Reto 09 Lâminas Azul Propetz </t>
  </si>
  <si>
    <t xml:space="preserve">Desembolador Reto 12 Lâminas Azul Propetz </t>
  </si>
  <si>
    <t>H120DA-100</t>
  </si>
  <si>
    <t>7898670760644</t>
  </si>
  <si>
    <t xml:space="preserve">Rake Subpelo 20 Dentes Pelos Curtos Azul Propetz </t>
  </si>
  <si>
    <t>H113DA-100</t>
  </si>
  <si>
    <t>7898670760668</t>
  </si>
  <si>
    <t>Alicates Propetz</t>
  </si>
  <si>
    <t>A1GA-100</t>
  </si>
  <si>
    <t>7898670760903</t>
  </si>
  <si>
    <t>A2PA-100</t>
  </si>
  <si>
    <t>7898670760057</t>
  </si>
  <si>
    <t>Linha Home-Use Propetz - Pop</t>
  </si>
  <si>
    <t>C1ND-GAP-100</t>
  </si>
  <si>
    <t>E1AL-GPA-100</t>
  </si>
  <si>
    <t>7898670762754</t>
  </si>
  <si>
    <t xml:space="preserve">Rasqueadeira Autolimpante Grande Pop Propetz </t>
  </si>
  <si>
    <t>F119-S50P-100</t>
  </si>
  <si>
    <t>7898670762761</t>
  </si>
  <si>
    <t>Tesouras Semi-Profissionais Propetz</t>
  </si>
  <si>
    <t>L1R75A-100</t>
  </si>
  <si>
    <t>7898670760682</t>
  </si>
  <si>
    <t xml:space="preserve">Tesoura Semi-Profissional Reta 7,5" Azul Propetz </t>
  </si>
  <si>
    <t>L1C75A-100</t>
  </si>
  <si>
    <t>7898670760705</t>
  </si>
  <si>
    <t xml:space="preserve">Tesoura Semi-Profissional Curva  7,5" Azul Propetz </t>
  </si>
  <si>
    <t>L1T7A-100</t>
  </si>
  <si>
    <t>7898670760729</t>
  </si>
  <si>
    <t>Tesoura Semi-Profissional Semi-Dentada/Tubarão 7" Azul Propetz</t>
  </si>
  <si>
    <t>L1PP6A-100</t>
  </si>
  <si>
    <t>Tesoura Semi-Profissional Ponta Protegida Reta 6" Azul Propetz</t>
  </si>
  <si>
    <t>5AK-65CA-100</t>
  </si>
  <si>
    <t>5AK-65CR-100</t>
  </si>
  <si>
    <t>7898670762921</t>
  </si>
  <si>
    <t>5AK-70CA-100</t>
  </si>
  <si>
    <t>5AK-70CR-100</t>
  </si>
  <si>
    <t>7898670762846</t>
  </si>
  <si>
    <t>Estojo para Tesouras Propetz</t>
  </si>
  <si>
    <t>1CRP-PR-100</t>
  </si>
  <si>
    <t>Guias de Nylon Propetz</t>
  </si>
  <si>
    <t>GNPPR45-100</t>
  </si>
  <si>
    <t> 7898670762358</t>
  </si>
  <si>
    <t xml:space="preserve">Guia de Nylon Propetz Preta 45cm </t>
  </si>
  <si>
    <t>GNPAZ45-100</t>
  </si>
  <si>
    <t> 7898670762365</t>
  </si>
  <si>
    <t xml:space="preserve">Guia de Nylon Propetz Azul 45cm </t>
  </si>
  <si>
    <t>GNPRO45-100</t>
  </si>
  <si>
    <t> 7898670762372</t>
  </si>
  <si>
    <t xml:space="preserve">Guia de Nylon Propetz Rosa 45cm </t>
  </si>
  <si>
    <t>GNPPR60-100</t>
  </si>
  <si>
    <t> 7898670762389</t>
  </si>
  <si>
    <t xml:space="preserve">Guia de Nylon Propetz Preta 60cm </t>
  </si>
  <si>
    <t>GNPAZ60-100</t>
  </si>
  <si>
    <t> 7898670762396</t>
  </si>
  <si>
    <t xml:space="preserve">Guia de Nylon Propetz Azul 60cm </t>
  </si>
  <si>
    <t>GNPRO60-100</t>
  </si>
  <si>
    <t> 7898670762402</t>
  </si>
  <si>
    <t xml:space="preserve">Guia de Nylon Propetz Rosa 60cm </t>
  </si>
  <si>
    <t>FRETE</t>
  </si>
  <si>
    <t xml:space="preserve">A COTAR. </t>
  </si>
  <si>
    <t xml:space="preserve">QTDE TOTAL ITENS </t>
  </si>
  <si>
    <t>FORMA DE PGTO</t>
  </si>
  <si>
    <t xml:space="preserve">A prazo. Condição: </t>
  </si>
  <si>
    <t>FORMA DE PAGAMENTO</t>
  </si>
  <si>
    <t>Condição a vista.</t>
  </si>
  <si>
    <t>QUANTIDADE MÍNIMA DE PRODUTOS DE CADA MODELO</t>
  </si>
  <si>
    <t>Kit de Adaptadores de Metal Propetz</t>
  </si>
  <si>
    <t>Tesouras Profissionais ou Estojos (cada modelo)</t>
  </si>
  <si>
    <t>Acessórios Escovação Propetz (Todos os itens, exceto os dois abaixo)</t>
  </si>
  <si>
    <t>Rasqueadeira Autolimpante</t>
  </si>
  <si>
    <t>Tira Laço</t>
  </si>
  <si>
    <t>Pentes Akemi</t>
  </si>
  <si>
    <t>3PR-7TP-100</t>
  </si>
  <si>
    <t>3PR-7SDP-100</t>
  </si>
  <si>
    <r>
      <t xml:space="preserve">Tesoura </t>
    </r>
    <r>
      <rPr>
        <b/>
        <sz val="10"/>
        <color theme="1"/>
        <rFont val="Calibri"/>
        <family val="2"/>
      </rPr>
      <t>Curva 6.5</t>
    </r>
    <r>
      <rPr>
        <sz val="10"/>
        <color theme="1"/>
        <rFont val="Calibri"/>
        <family val="2"/>
      </rPr>
      <t xml:space="preserve">" Aluminio Akemi (Aço 440) Azul Propetz </t>
    </r>
  </si>
  <si>
    <r>
      <t xml:space="preserve">Tesoura </t>
    </r>
    <r>
      <rPr>
        <b/>
        <sz val="10"/>
        <color theme="1"/>
        <rFont val="Calibri"/>
        <family val="2"/>
      </rPr>
      <t>Curva 6.5</t>
    </r>
    <r>
      <rPr>
        <sz val="10"/>
        <color theme="1"/>
        <rFont val="Calibri"/>
        <family val="2"/>
      </rPr>
      <t xml:space="preserve">" Aluminio Akemi( Aço 440) Rosa Propetz </t>
    </r>
  </si>
  <si>
    <r>
      <t xml:space="preserve">Tesoura </t>
    </r>
    <r>
      <rPr>
        <b/>
        <sz val="10"/>
        <color rgb="FF000000"/>
        <rFont val="Calibri"/>
        <family val="2"/>
        <scheme val="minor"/>
      </rPr>
      <t>Curva 7</t>
    </r>
    <r>
      <rPr>
        <sz val="10"/>
        <color rgb="FF000000"/>
        <rFont val="Calibri"/>
        <family val="2"/>
        <scheme val="minor"/>
      </rPr>
      <t xml:space="preserve">" Aluminio Akemi (Aço 440)  Azul Propetz </t>
    </r>
  </si>
  <si>
    <r>
      <t xml:space="preserve">Tesoura </t>
    </r>
    <r>
      <rPr>
        <b/>
        <sz val="10"/>
        <color rgb="FF000000"/>
        <rFont val="Calibri"/>
        <family val="2"/>
        <scheme val="minor"/>
      </rPr>
      <t>Curva 7</t>
    </r>
    <r>
      <rPr>
        <sz val="10"/>
        <color rgb="FF000000"/>
        <rFont val="Calibri"/>
        <family val="2"/>
        <scheme val="minor"/>
      </rPr>
      <t xml:space="preserve">" Aluminio Akemi(Aço 440) Rosa Propetz </t>
    </r>
  </si>
  <si>
    <t>VALOR DO PRODUTO</t>
  </si>
  <si>
    <t>Tesouras Curva Profissionais Propetz - Akemi</t>
  </si>
  <si>
    <r>
      <t xml:space="preserve">Estojo para </t>
    </r>
    <r>
      <rPr>
        <b/>
        <sz val="10"/>
        <color rgb="FF000000"/>
        <rFont val="Calibri"/>
        <family val="2"/>
        <scheme val="minor"/>
      </rPr>
      <t>4</t>
    </r>
    <r>
      <rPr>
        <sz val="10"/>
        <color rgb="FF000000"/>
        <rFont val="Calibri"/>
        <family val="2"/>
        <scheme val="minor"/>
      </rPr>
      <t xml:space="preserve"> Tesouras - X  Propetz</t>
    </r>
  </si>
  <si>
    <r>
      <t xml:space="preserve">Estojo para </t>
    </r>
    <r>
      <rPr>
        <b/>
        <sz val="10"/>
        <color rgb="FF000000"/>
        <rFont val="Calibri"/>
        <family val="2"/>
        <scheme val="minor"/>
      </rPr>
      <t>10</t>
    </r>
    <r>
      <rPr>
        <sz val="10"/>
        <color rgb="FF000000"/>
        <rFont val="Calibri"/>
        <family val="2"/>
        <scheme val="minor"/>
      </rPr>
      <t xml:space="preserve"> Tesouras - X Propetz </t>
    </r>
  </si>
  <si>
    <r>
      <t xml:space="preserve">Estojo para </t>
    </r>
    <r>
      <rPr>
        <b/>
        <sz val="10"/>
        <color rgb="FF000000"/>
        <rFont val="Calibri"/>
        <family val="2"/>
        <scheme val="minor"/>
      </rPr>
      <t>20</t>
    </r>
    <r>
      <rPr>
        <sz val="10"/>
        <color rgb="FF000000"/>
        <rFont val="Calibri"/>
        <family val="2"/>
        <scheme val="minor"/>
      </rPr>
      <t xml:space="preserve"> Tesouras - X Propetz</t>
    </r>
  </si>
  <si>
    <t>PLANILHA DE VALORES SUGERIDOS FOB</t>
  </si>
  <si>
    <t>VALOR PRODUTO</t>
  </si>
  <si>
    <t>VALOR SUGERIDO</t>
  </si>
  <si>
    <t>MÍNIMO A VISTA</t>
  </si>
  <si>
    <t>% MÉDIA</t>
  </si>
  <si>
    <t xml:space="preserve">Máquina de Tosa A6 Slim Preta Bivolt Oster </t>
  </si>
  <si>
    <t xml:space="preserve">Máquina de Tosa A6 Slim Roxa Purpura Bivolt Oster </t>
  </si>
  <si>
    <t xml:space="preserve">Máquina de Tosa A6 Slim Patinhas Bivolt Oster </t>
  </si>
  <si>
    <t>Lâmina de Tosa 50 Baixa Oster</t>
  </si>
  <si>
    <t xml:space="preserve">Lâmina de Tosa 30 Baixa Oster </t>
  </si>
  <si>
    <t xml:space="preserve">Lâmina de Tosa 10 Baixa Oster </t>
  </si>
  <si>
    <t>Lâmina de Tosa 5F Alta Oster</t>
  </si>
  <si>
    <r>
      <t>Cortante de Cerâmica Lâminas Propetz</t>
    </r>
    <r>
      <rPr>
        <b/>
        <sz val="9.9"/>
        <color theme="1"/>
        <rFont val="Calibri"/>
        <family val="2"/>
      </rPr>
      <t xml:space="preserve"> Para lâminas n.10,30,15,3F,4F,5F e 7F</t>
    </r>
  </si>
  <si>
    <t xml:space="preserve">Kit de Adaptadores de Inox Propetz Profissional 08 Peças </t>
  </si>
  <si>
    <t>Escova Premium Pinos S/ bolinha Grande Black Propetz</t>
  </si>
  <si>
    <t>Escova Premium Pinos S/ bolinha Média Black Propetz</t>
  </si>
  <si>
    <t xml:space="preserve">Escova Pinos s/ Bolinha Grande Azul Propetz </t>
  </si>
  <si>
    <t xml:space="preserve">Escova Pinos s/ Bolinha Média Azul Propetz </t>
  </si>
  <si>
    <t>Rasqueadeira Premium Reta Grande Pinos Macio Black Propetz</t>
  </si>
  <si>
    <t>Rasqueadeira Premium Curva Média Pinos Longos Black Propetz</t>
  </si>
  <si>
    <t>Rasqueadeira Premium Curva Média Pinos Longos Regulares Black Propetz</t>
  </si>
  <si>
    <t xml:space="preserve">Rasqueadeira Clássica Reta Grande Azul Propetz </t>
  </si>
  <si>
    <t>Rasqueadeira Reta c/ Bolinha Grande Azul Propetz</t>
  </si>
  <si>
    <t xml:space="preserve">Rasqueadeira Curva c/ Bolinha Média Azul Propetz </t>
  </si>
  <si>
    <t xml:space="preserve">Rasqueadeira Curva Grande Azul Propetz </t>
  </si>
  <si>
    <t xml:space="preserve">Rasqueadeira Flexível Pinos Longos Macio Azul Propetz </t>
  </si>
  <si>
    <t xml:space="preserve">Pente 19cm Duplo Alumínio Azul Propetz </t>
  </si>
  <si>
    <t xml:space="preserve">Pente 30cm Duplo Alumínio Azul Propetz </t>
  </si>
  <si>
    <t xml:space="preserve">Pente Penteado de Metal c/ Cabo Azul Propetz </t>
  </si>
  <si>
    <t xml:space="preserve">Pente Penteado p/ Topete Azul Propetz </t>
  </si>
  <si>
    <t>Pente de Pulgas c/ Cabo Azul Propetz</t>
  </si>
  <si>
    <t xml:space="preserve">Tira Laço Azul Propetz </t>
  </si>
  <si>
    <t>Pente 19cm Akemi Aluminio Propetz</t>
  </si>
  <si>
    <t>Pente 19cm Akemi Aço Inox Propetz</t>
  </si>
  <si>
    <t>Desembolador Reto 12 Lâminas Azul Propetz</t>
  </si>
  <si>
    <t xml:space="preserve">Rake Subpelo 13 Dentes Pelos Longos Azul Propetz </t>
  </si>
  <si>
    <t xml:space="preserve">Alicate de Unhas Grande Azul Propetz </t>
  </si>
  <si>
    <t xml:space="preserve">Alicate de Unhas Pequeno Azul Propetz </t>
  </si>
  <si>
    <t xml:space="preserve">Alicate de Unhas p/ Gato e Filhotes Pequeno Azul Propetz </t>
  </si>
  <si>
    <r>
      <t xml:space="preserve">Escova Pinos/Nylon </t>
    </r>
    <r>
      <rPr>
        <b/>
        <sz val="10"/>
        <color theme="1"/>
        <rFont val="Calibri"/>
        <family val="2"/>
      </rPr>
      <t xml:space="preserve">Dupla </t>
    </r>
    <r>
      <rPr>
        <sz val="10"/>
        <color theme="1"/>
        <rFont val="Calibri"/>
        <family val="2"/>
      </rPr>
      <t xml:space="preserve">Grande Pop Propetz </t>
    </r>
  </si>
  <si>
    <t xml:space="preserve">Pente 19cm Duplo Aço Cromado Pop Propetz </t>
  </si>
  <si>
    <t>Tesouras Profissionais Propetz - Akemi</t>
  </si>
  <si>
    <t>Tesouras Laser Propetz</t>
  </si>
  <si>
    <t>Tesoura Laser Reta 7,5" Azul Propetz</t>
  </si>
  <si>
    <t>Tesoura Laser Curva 7,5" Azul Propetz</t>
  </si>
  <si>
    <t>Tesoura Laser Semi-Dentada/Tubarão 7" Azul Propetz</t>
  </si>
  <si>
    <t>Tesoura Curva 6.5" Aluminio Akemi (Aço 440C) Azul Propetz</t>
  </si>
  <si>
    <t>Tesoura Curva 6.5" Aluminio Akemi( Aço 440C) Rosa Propetz</t>
  </si>
  <si>
    <t>Tesoura Curva 7" Aluminio Akemi (Aço 440C)  Azul Propetz</t>
  </si>
  <si>
    <t>Tesoura Curva 7" Aluminio Akemi(Aço 440C) Rosa Propetz</t>
  </si>
  <si>
    <t xml:space="preserve">Pente de Pulgas c/ Cabo Azul Propetz </t>
  </si>
  <si>
    <t xml:space="preserve">Alicate de Unhas Grande Azul Propetz  </t>
  </si>
  <si>
    <t>Lâmina de Tosa PRO4 Propetz, N°0,25MM</t>
  </si>
  <si>
    <t>Lâmina de Tosa MO3 Propetz de Nº1.0MM</t>
  </si>
  <si>
    <t>1CPP-PR-100</t>
  </si>
  <si>
    <t>L2AP65F-100</t>
  </si>
  <si>
    <t>7898670762563</t>
  </si>
  <si>
    <t>CL1CP-100</t>
  </si>
  <si>
    <t>7898670762624</t>
  </si>
  <si>
    <r>
      <t xml:space="preserve">Cortante I de Cerâmica Lâminas Propetz - </t>
    </r>
    <r>
      <rPr>
        <b/>
        <sz val="10"/>
        <color theme="1"/>
        <rFont val="Calibri"/>
        <family val="2"/>
        <scheme val="minor"/>
      </rPr>
      <t>Para lâminas n.40 e n.50</t>
    </r>
  </si>
  <si>
    <r>
      <t>Cortante de Cerâmica Lâminas Propetz</t>
    </r>
    <r>
      <rPr>
        <b/>
        <sz val="9.9"/>
        <color theme="1"/>
        <rFont val="Calibri"/>
        <family val="2"/>
      </rPr>
      <t xml:space="preserve"> Para lâminas n.40 e n.50</t>
    </r>
  </si>
  <si>
    <t>Lâmina de Tosa PRO4 Propetz, N°0,25mm</t>
  </si>
  <si>
    <t>Lâmina de Tosa MO3 Propetz de Nº1.0mm</t>
  </si>
  <si>
    <r>
      <t xml:space="preserve">Máquina de tosa MO3 Propetz </t>
    </r>
    <r>
      <rPr>
        <b/>
        <sz val="10"/>
        <color theme="1"/>
        <rFont val="Calibri"/>
        <family val="2"/>
        <scheme val="minor"/>
      </rPr>
      <t>PINK</t>
    </r>
    <r>
      <rPr>
        <sz val="10"/>
        <color theme="1"/>
        <rFont val="Calibri"/>
        <family val="2"/>
        <scheme val="minor"/>
      </rPr>
      <t xml:space="preserve"> , Lâmina de Cerâmica, Bivolt  </t>
    </r>
  </si>
  <si>
    <r>
      <t xml:space="preserve">Máquina de tosa MO3 Propetz </t>
    </r>
    <r>
      <rPr>
        <b/>
        <sz val="10"/>
        <color theme="1"/>
        <rFont val="Calibri"/>
        <family val="2"/>
        <scheme val="minor"/>
      </rPr>
      <t>AZUL</t>
    </r>
    <r>
      <rPr>
        <sz val="10"/>
        <color theme="1"/>
        <rFont val="Calibri"/>
        <family val="2"/>
        <scheme val="minor"/>
      </rPr>
      <t xml:space="preserve">, Lâmina de Cerâmica, Bivolt </t>
    </r>
  </si>
  <si>
    <t xml:space="preserve">Escova Premium Pinos s/ Bolinha Média Black Propetz </t>
  </si>
  <si>
    <t>Rasqueadeira Clássica Reta Grande Azul Propetz</t>
  </si>
  <si>
    <t>Pente 19cm Duplo Alumínio Azul Propetz</t>
  </si>
  <si>
    <r>
      <t xml:space="preserve">Pente </t>
    </r>
    <r>
      <rPr>
        <b/>
        <sz val="10"/>
        <color theme="1"/>
        <rFont val="Calibri"/>
        <family val="2"/>
        <scheme val="minor"/>
      </rPr>
      <t>Penteado</t>
    </r>
    <r>
      <rPr>
        <sz val="10"/>
        <color theme="1"/>
        <rFont val="Calibri"/>
        <family val="2"/>
        <scheme val="minor"/>
      </rPr>
      <t xml:space="preserve"> de Metal c/ Cabo Azul Propetz </t>
    </r>
  </si>
  <si>
    <t>Rake Subpelo 13 Dentes Pelos Longos Azul Propetz</t>
  </si>
  <si>
    <r>
      <t xml:space="preserve">Escova Pinos/Nylon </t>
    </r>
    <r>
      <rPr>
        <b/>
        <sz val="10"/>
        <color theme="1"/>
        <rFont val="Calibri"/>
        <family val="2"/>
        <scheme val="minor"/>
      </rPr>
      <t xml:space="preserve">Dupla </t>
    </r>
    <r>
      <rPr>
        <sz val="10"/>
        <color theme="1"/>
        <rFont val="Calibri"/>
        <family val="2"/>
        <scheme val="minor"/>
      </rPr>
      <t xml:space="preserve">Grande Pop Propetz </t>
    </r>
  </si>
  <si>
    <t>Tesouras LASER  Propetz</t>
  </si>
  <si>
    <t xml:space="preserve">Tesoura Laser Reta 7,5" Azul Propetz </t>
  </si>
  <si>
    <t xml:space="preserve">Tesoura Laser Curva  7,5" Azul Propetz </t>
  </si>
  <si>
    <t>Tesoura Laser Ponta Protegida Reta 6" Azul Propetz</t>
  </si>
  <si>
    <t>Rasqueadeira Flexível Pinos Longos Macio Azul Propetz</t>
  </si>
  <si>
    <t>Tesoura Laser Semi-Dentada 7" Azul Propetz</t>
  </si>
  <si>
    <t>Pente 19cm Duplo Aço Cromado Pop Propetz</t>
  </si>
  <si>
    <t>Lâminas de Tosa Propetz</t>
  </si>
  <si>
    <t xml:space="preserve">Guias Propetz </t>
  </si>
  <si>
    <t>KAI2P-100</t>
  </si>
  <si>
    <t xml:space="preserve"> </t>
  </si>
  <si>
    <t>Horário de entrega:</t>
  </si>
  <si>
    <t>Instagram:</t>
  </si>
  <si>
    <t>CODIGO</t>
  </si>
  <si>
    <t xml:space="preserve">Aventais e Jalecos </t>
  </si>
  <si>
    <t>Boleto 21/35/49/63/77/91</t>
  </si>
  <si>
    <t xml:space="preserve">Lâminas de Tosa Premium AÇO INOX Propetz </t>
  </si>
  <si>
    <t xml:space="preserve">Lâminas de Tosa SUPER Premium TITANIUM Propetz </t>
  </si>
  <si>
    <t>L1SP-T10-200</t>
  </si>
  <si>
    <t>L1SP-T30-200</t>
  </si>
  <si>
    <t>L1SP-T40-200</t>
  </si>
  <si>
    <t>L1SP-T3F-200</t>
  </si>
  <si>
    <t>L1SP-T4F-200</t>
  </si>
  <si>
    <t>L1SP-T7F-200</t>
  </si>
  <si>
    <t>7898670765137</t>
  </si>
  <si>
    <t>7898670765144</t>
  </si>
  <si>
    <t>7898670765151</t>
  </si>
  <si>
    <t>7898670765175</t>
  </si>
  <si>
    <t>7898670765182</t>
  </si>
  <si>
    <t>L2P-C10-100</t>
  </si>
  <si>
    <t>L2P-C30-100</t>
  </si>
  <si>
    <t>L2P-C40-100</t>
  </si>
  <si>
    <t>L2P-C3F-100</t>
  </si>
  <si>
    <t>L2P-C4F-100</t>
  </si>
  <si>
    <t>L2P-C7F-100</t>
  </si>
  <si>
    <t>7898670765199</t>
  </si>
  <si>
    <t>7898670765205</t>
  </si>
  <si>
    <t>7898670765212</t>
  </si>
  <si>
    <t>7898670765236</t>
  </si>
  <si>
    <t>7898670765243</t>
  </si>
  <si>
    <t>Lâmina De Tosa 10 Titanium Super Premium Propetz</t>
  </si>
  <si>
    <t>Lâmina De Tosa 30 Titanium Super Premium Propetz</t>
  </si>
  <si>
    <t>Lâmina De Tosa 40 Titanium Super Premium Propetz</t>
  </si>
  <si>
    <t>Lâmina De Tosa 10 Aço Inox Premium Propetz</t>
  </si>
  <si>
    <t>Lâmina De Tosa 30 Aço Inox Premium Propetz</t>
  </si>
  <si>
    <t>Lâmina De Tosa 40 Aço Inox Premium Propetz</t>
  </si>
  <si>
    <t>Lâmina De Tosa 4F Aço Inox Premium Propetz</t>
  </si>
  <si>
    <t>Lâmina De Tosa 7F Aço Inox Premium Propetz</t>
  </si>
  <si>
    <t>Cortantes de ceramica</t>
  </si>
  <si>
    <t>CORTANTES</t>
  </si>
  <si>
    <t>Máquinas de Tosa Propetz por cor</t>
  </si>
  <si>
    <t>Tesoura Curva Profisionais SUPER Premium Propetz</t>
  </si>
  <si>
    <t>5PR-75C-TSP-100</t>
  </si>
  <si>
    <t>TESOURA PROFISSIONAL CURVA 440C 7.5” SUPER PREMIUM – PROPETZ</t>
  </si>
  <si>
    <t>7898670765625</t>
  </si>
  <si>
    <t>Tesoura Reta Profisionais SUPER Premium Propetz</t>
  </si>
  <si>
    <t>5PR-75R-TSP-100</t>
  </si>
  <si>
    <t>TESOURA PROFISSIONAL RETA 440C 7.5” SUPER PREMIUM – PROPETZ</t>
  </si>
  <si>
    <t>7898670765618</t>
  </si>
  <si>
    <t>Tesoura Tubarão Profissionais SUPER Premium Propetz</t>
  </si>
  <si>
    <t>5PR-75T-TSP-100</t>
  </si>
  <si>
    <t>TESOURA PROFISSIONAL TUBARÃO 440C 7.5” SUPER PREMIUM – PROPETZ</t>
  </si>
  <si>
    <t>7898670765632</t>
  </si>
  <si>
    <t>5PR-75TC-TSP-100</t>
  </si>
  <si>
    <t>TESOURA PROFISSIONAL TUBARÃO CURVA 440C 7.5” SUPER PREMIUM – PROPETZ</t>
  </si>
  <si>
    <t>7898670765656</t>
  </si>
  <si>
    <t>5PR-75TU-TSP-100</t>
  </si>
  <si>
    <t>TESOURA PROFISSIONAL TUBARÃO ULTRA 440C 7.5” SUPER PREMIUM – PROPETZ</t>
  </si>
  <si>
    <t>7898670765670</t>
  </si>
  <si>
    <t>Tesoura Semi Dentada Profissionais SUPER Premium Propetz</t>
  </si>
  <si>
    <t>5PR-75SD-TSP-100</t>
  </si>
  <si>
    <t>TESOURA PROFISSIONAL SEMI-DENTADA 440C 7.5” SUPER PREMIUM – PROPETZ</t>
  </si>
  <si>
    <t>7898670765649</t>
  </si>
  <si>
    <t>5PR-75SDC-TSP-100</t>
  </si>
  <si>
    <t>TESOURA PROFISSIONAL SEMI-DENTADA CURVA 440C 7.5” SUPER PREMIUM – PROPETZ</t>
  </si>
  <si>
    <t>7898670765663</t>
  </si>
  <si>
    <t>Tesoura Curva Profisionais  Premium Propetz</t>
  </si>
  <si>
    <t>4PR-70C-CP-100</t>
  </si>
  <si>
    <t>TESOURA PROFISSIONAL CURVA 440C 7” PREMIUM – PROPETZ</t>
  </si>
  <si>
    <t>7898670765489</t>
  </si>
  <si>
    <t>4PR-75C-CP-100</t>
  </si>
  <si>
    <t>TESOURA PROFISSIONAL CURVA 440C 7.5” PREMIUM – PROPETZ</t>
  </si>
  <si>
    <t>7898670765496</t>
  </si>
  <si>
    <t>4PR-80C-CP-100</t>
  </si>
  <si>
    <t>TESOURA PROFISSIONAL CURVA 440C 8” PREMIUM – PROPETZ</t>
  </si>
  <si>
    <t>7898670765502</t>
  </si>
  <si>
    <t>4PR-85C-CP-100</t>
  </si>
  <si>
    <t>TESOURA PROFISSIONAL CURVA 440C 8.5” PREMIUM – PROPETZ</t>
  </si>
  <si>
    <t>7898670765519</t>
  </si>
  <si>
    <t>Tesoura Reta Profisionais Premium Propetz</t>
  </si>
  <si>
    <t>4PR-70R-CP-100</t>
  </si>
  <si>
    <t>TESOURA PROFISSIONAL RETA 440C 7” PREMIUM – PROPETZ</t>
  </si>
  <si>
    <t>7898670765441</t>
  </si>
  <si>
    <t>4PR-75R-CP-100</t>
  </si>
  <si>
    <t>TESOURA PROFISSIONAL RETA 440C 7.5” PREMIUM – PROPETZ</t>
  </si>
  <si>
    <t>7898670765458</t>
  </si>
  <si>
    <t>4PR-80R-CP-100</t>
  </si>
  <si>
    <t>TESOURA PROFISSIONAL RETA 440C 8” PREMIUM – PROPETZ</t>
  </si>
  <si>
    <t>7898670765465</t>
  </si>
  <si>
    <t>4PR-85R-CP-100</t>
  </si>
  <si>
    <t>TESOURA PROFISSIONAL RETA 440C 8.5” PREMIUM – PROPETZ</t>
  </si>
  <si>
    <t>7898670765472</t>
  </si>
  <si>
    <t>Tesoura Tubarão Profissionais Premium Propetz</t>
  </si>
  <si>
    <t>4PR-70T-CP-100</t>
  </si>
  <si>
    <t>TESOURA PROFISSIONAL TUBARÃO 440C 7” PREMIUM – PROPETZ</t>
  </si>
  <si>
    <t>7898670765526</t>
  </si>
  <si>
    <t>4PR-75T-CP-100</t>
  </si>
  <si>
    <t>TESOURA PROFISSIONAL TUBARÃO 440C 7.5” PREMIUM – PROPETZ</t>
  </si>
  <si>
    <t>7898670765533</t>
  </si>
  <si>
    <t>4PR-70TC-CP-100</t>
  </si>
  <si>
    <t>TESOURA PROFISSIONAL TUBARÃO CURVA 440C 7” PREMIUM – PROPETZ</t>
  </si>
  <si>
    <t>7898670765564</t>
  </si>
  <si>
    <t>4PR-75TC-CP-100</t>
  </si>
  <si>
    <t>TESOURA PROFISSIONAL TUBARÃO CURVA 440C 7.5” PREMIUM – PROPETZ</t>
  </si>
  <si>
    <t>7898670765571</t>
  </si>
  <si>
    <t>4PR-75TU-CP-100</t>
  </si>
  <si>
    <t>TESOURA PROFISSIONAL TUBARÃO ULTRA 440C 7.5” PREMIUM – PROPETZ</t>
  </si>
  <si>
    <t>7898670765601</t>
  </si>
  <si>
    <t>Tesoura Semi Dentada Profissionais Premium Propetz</t>
  </si>
  <si>
    <t>4PR-70SD-CP-100</t>
  </si>
  <si>
    <t>TESOURA PROFISSIONAL SEMI-DENTADA 440C 7” PREMIUM – PROPETZ</t>
  </si>
  <si>
    <t>7898670765540</t>
  </si>
  <si>
    <t>4PR-75SD-CP-100</t>
  </si>
  <si>
    <t>TESOURA PROFISSIONAL SEMI-DENTADA 440C 7.5” PREMIUM – PROPETZ</t>
  </si>
  <si>
    <t>7898670765557</t>
  </si>
  <si>
    <t>4PR-70SDC-CP-100</t>
  </si>
  <si>
    <t>TESOURA PROFISSIONAL SEMI-DENTADA CURVA 440C 7” PREMIUM – PROPETZ</t>
  </si>
  <si>
    <t>7898670765588</t>
  </si>
  <si>
    <t>4PR-75SDC-CP-100</t>
  </si>
  <si>
    <t>TESOURA PROFISSIONAL SEMI-DENTADA CURVA 440C 7.5” PREMIUM – PROPETZ</t>
  </si>
  <si>
    <t>7898670765595</t>
  </si>
  <si>
    <t xml:space="preserve">Lâmina De Tosa 10 Titanium Super Premium Propetz </t>
  </si>
  <si>
    <t xml:space="preserve">Lâmina De Tosa 30 Titanium Super Premium Propetz </t>
  </si>
  <si>
    <t xml:space="preserve">Lâmina De Tosa 40 Titanium Super Premium Propetz </t>
  </si>
  <si>
    <t xml:space="preserve">TESOURA PROFISSIONAL CURVA 440C 7.5” SUPER PREMIUM – PROPETZ </t>
  </si>
  <si>
    <t xml:space="preserve">TESOURA PROFISSIONAL RETA 440C 7.5” SUPER PREMIUM – PROPETZ </t>
  </si>
  <si>
    <t xml:space="preserve">TESOURA PROFISSIONAL TUBARÃO 440C 7.5” SUPER PREMIUM – PROPETZ </t>
  </si>
  <si>
    <t xml:space="preserve">TESOURA PROFISSIONAL TUBARÃO CURVA 440C 7.5” SUPER PREMIUM – PROPETZ </t>
  </si>
  <si>
    <t xml:space="preserve">TESOURA PROFISSIONAL TUBARÃO ULTRA 440C 7.5” SUPER PREMIUM – PROPETZ </t>
  </si>
  <si>
    <t xml:space="preserve">TESOURA PROFISSIONAL SEMI-DENTADA 440C 7.5” SUPER PREMIUM – PROPETZ </t>
  </si>
  <si>
    <t xml:space="preserve">TESOURA PROFISSIONAL SEMI-DENTADA CURVA 440C 7.5” SUPER PREMIUM – PROPETZ </t>
  </si>
  <si>
    <t>Tesoura Curva Chrome Premium Propetz</t>
  </si>
  <si>
    <t>Tesoura Semi Dentada Chrome Premium Propetz</t>
  </si>
  <si>
    <t>Tesoura Tubarão Chrome Premium Propetz</t>
  </si>
  <si>
    <t>Tesoura Reta Chrome Premium Propetz</t>
  </si>
  <si>
    <t>2CRP-PR-100</t>
  </si>
  <si>
    <t>MP2-520X-100</t>
  </si>
  <si>
    <t>MP1-320X-100</t>
  </si>
  <si>
    <t>MP5-510P-100</t>
  </si>
  <si>
    <t>MP3-CF1X-100</t>
  </si>
  <si>
    <r>
      <t xml:space="preserve">Máquina De Tosa </t>
    </r>
    <r>
      <rPr>
        <b/>
        <sz val="10"/>
        <color theme="1"/>
        <rFont val="Calibri"/>
        <family val="2"/>
        <scheme val="minor"/>
      </rPr>
      <t>PLUMA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Profissional, Bivolt (LANÇAMENTO)</t>
    </r>
  </si>
  <si>
    <r>
      <t xml:space="preserve">Máquina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 xml:space="preserve">PRETA - </t>
    </r>
    <r>
      <rPr>
        <sz val="10"/>
        <color theme="1"/>
        <rFont val="Calibri"/>
        <family val="2"/>
        <scheme val="minor"/>
      </rPr>
      <t>5 em 1, Bivolt (LANÇAMENTO)</t>
    </r>
  </si>
  <si>
    <r>
      <t xml:space="preserve">Máquina De Tosa </t>
    </r>
    <r>
      <rPr>
        <b/>
        <sz val="10"/>
        <color theme="1"/>
        <rFont val="Calibri"/>
        <family val="2"/>
        <scheme val="minor"/>
      </rPr>
      <t>PRO X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- 4 em 1, Bivolt (LANÇAMENTO)</t>
    </r>
  </si>
  <si>
    <r>
      <t xml:space="preserve">Máquina De Tosa </t>
    </r>
    <r>
      <rPr>
        <b/>
        <sz val="10"/>
        <color theme="1"/>
        <rFont val="Calibri"/>
        <family val="2"/>
        <scheme val="minor"/>
      </rPr>
      <t>PRO X mini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Acabamento, Bivolt (LANÇAMENTO)</t>
    </r>
  </si>
  <si>
    <t>L1SP-T09-200</t>
  </si>
  <si>
    <t>7898670765977</t>
  </si>
  <si>
    <t>Lâmina De Tosa 9 Titanium Super Premium Propetz (LANÇAMENTO)</t>
  </si>
  <si>
    <t>Lâmina De Tosa 15 Titanium Super Premium Propetz (LANÇAMENTO)</t>
  </si>
  <si>
    <t>Lâmina De Tosa 50 Titanium Super Premium Propetz (LANÇAMENTO)</t>
  </si>
  <si>
    <t>Lâmina De Tosa 4F Titanium Super Premium  Propetz</t>
  </si>
  <si>
    <t>Lâmina De Tosa 5F Titanium Super Premium Propetz (LANÇAMENTO)</t>
  </si>
  <si>
    <t xml:space="preserve">Lâmina De Tosa 7F Titanium Super Premium  Propetz </t>
  </si>
  <si>
    <t>L1SP-T15-200</t>
  </si>
  <si>
    <t>L1SP-T50-200</t>
  </si>
  <si>
    <t>L1SP-T5F-200</t>
  </si>
  <si>
    <t>7898670765991</t>
  </si>
  <si>
    <t>7898670765960</t>
  </si>
  <si>
    <t>7898670765984</t>
  </si>
  <si>
    <t>Lâmina De Tosa 7F Titanium Super Premium  Propetz</t>
  </si>
  <si>
    <t>L2P-C09-100</t>
  </si>
  <si>
    <t>L2P-C15-100</t>
  </si>
  <si>
    <t>L2P-C50-100</t>
  </si>
  <si>
    <t>L2P-C5F-100</t>
  </si>
  <si>
    <t>7898670766011</t>
  </si>
  <si>
    <t>7898670766004</t>
  </si>
  <si>
    <t>7898670766028</t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</si>
  <si>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10</t>
    </r>
    <r>
      <rPr>
        <sz val="10"/>
        <color rgb="FF1D1C1D"/>
        <rFont val="Calibri"/>
        <family val="2"/>
        <scheme val="minor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</si>
  <si>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30</t>
    </r>
    <r>
      <rPr>
        <sz val="10"/>
        <color rgb="FF1D1C1D"/>
        <rFont val="Calibri"/>
        <family val="2"/>
        <scheme val="minor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</si>
  <si>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40</t>
    </r>
    <r>
      <rPr>
        <sz val="10"/>
        <color rgb="FF1D1C1D"/>
        <rFont val="Calibri"/>
        <family val="2"/>
        <scheme val="minor"/>
      </rPr>
      <t xml:space="preserve"> Aço Inox Premium Propetz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</si>
  <si>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50</t>
    </r>
    <r>
      <rPr>
        <sz val="10"/>
        <color rgb="FF1D1C1D"/>
        <rFont val="Calibri"/>
        <family val="2"/>
        <scheme val="minor"/>
      </rPr>
      <t xml:space="preserve"> Aço Inox Premium Propetz (LANÇAMENTO)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</si>
  <si>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4F</t>
    </r>
    <r>
      <rPr>
        <sz val="10"/>
        <color rgb="FF1D1C1D"/>
        <rFont val="Calibri"/>
        <family val="2"/>
        <scheme val="minor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</si>
  <si>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5F</t>
    </r>
    <r>
      <rPr>
        <sz val="10"/>
        <color rgb="FF1D1C1D"/>
        <rFont val="Calibri"/>
        <family val="2"/>
        <scheme val="minor"/>
      </rPr>
      <t xml:space="preserve"> Aço Inox Premium Propetz (LANÇAMENTO)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</si>
  <si>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7F</t>
    </r>
    <r>
      <rPr>
        <sz val="10"/>
        <color rgb="FF1D1C1D"/>
        <rFont val="Calibri"/>
        <family val="2"/>
        <scheme val="minor"/>
      </rPr>
      <t xml:space="preserve"> Aço Inox Premium Propetz </t>
    </r>
  </si>
  <si>
    <r>
      <t>TESOURA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PROFISSIONA</t>
    </r>
    <r>
      <rPr>
        <b/>
        <sz val="10"/>
        <rFont val="Calibri"/>
        <family val="2"/>
        <scheme val="minor"/>
      </rPr>
      <t>L CURVA CHROME 440C 7</t>
    </r>
    <r>
      <rPr>
        <sz val="10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</si>
  <si>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rFont val="Calibri"/>
        <family val="2"/>
        <scheme val="minor"/>
      </rPr>
      <t>CURVA CHROME 440C 7.5”</t>
    </r>
    <r>
      <rPr>
        <sz val="10"/>
        <rFont val="Calibri"/>
        <family val="2"/>
        <scheme val="minor"/>
      </rPr>
      <t xml:space="preserve"> PREMIUM – PROPETZ</t>
    </r>
  </si>
  <si>
    <r>
      <t xml:space="preserve">TESOURA PROFISSIONAL  </t>
    </r>
    <r>
      <rPr>
        <b/>
        <sz val="10"/>
        <rFont val="Calibri"/>
        <family val="2"/>
        <scheme val="minor"/>
      </rPr>
      <t>CURVA CHROME 440C 8”</t>
    </r>
    <r>
      <rPr>
        <sz val="10"/>
        <rFont val="Calibri"/>
        <family val="2"/>
        <scheme val="minor"/>
      </rPr>
      <t xml:space="preserve"> PREMIUM – PROPETZ</t>
    </r>
  </si>
  <si>
    <r>
      <t>TESOURA PROFISSIONAL</t>
    </r>
    <r>
      <rPr>
        <b/>
        <sz val="10"/>
        <rFont val="Calibri"/>
        <family val="2"/>
        <scheme val="minor"/>
      </rPr>
      <t xml:space="preserve"> CURVA CHROME 440C 8.5</t>
    </r>
    <r>
      <rPr>
        <sz val="10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</si>
  <si>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rFont val="Calibri"/>
        <family val="2"/>
        <scheme val="minor"/>
      </rPr>
      <t>RETA CHROME 440C 7”</t>
    </r>
    <r>
      <rPr>
        <sz val="10"/>
        <rFont val="Calibri"/>
        <family val="2"/>
        <scheme val="minor"/>
      </rPr>
      <t xml:space="preserve"> PREMIUM – PROPETZ</t>
    </r>
  </si>
  <si>
    <r>
      <t xml:space="preserve">TESOURA PROFISSIONAL </t>
    </r>
    <r>
      <rPr>
        <b/>
        <sz val="10"/>
        <rFont val="Calibri"/>
        <family val="2"/>
        <scheme val="minor"/>
      </rPr>
      <t>RETA CHROME 440C 7.5</t>
    </r>
    <r>
      <rPr>
        <sz val="10"/>
        <rFont val="Calibri"/>
        <family val="2"/>
        <scheme val="minor"/>
      </rPr>
      <t>” PREMIUM – PROPETZ</t>
    </r>
  </si>
  <si>
    <r>
      <t>TESOURA PROFISSIONAL</t>
    </r>
    <r>
      <rPr>
        <b/>
        <sz val="10"/>
        <rFont val="Calibri"/>
        <family val="2"/>
        <scheme val="minor"/>
      </rPr>
      <t xml:space="preserve"> RETA CHROME 440C 8</t>
    </r>
    <r>
      <rPr>
        <sz val="10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</si>
  <si>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rFont val="Calibri"/>
        <family val="2"/>
        <scheme val="minor"/>
      </rPr>
      <t>RETA CHROME 440C 8.5</t>
    </r>
    <r>
      <rPr>
        <sz val="10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</si>
  <si>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TUBARÃO CHROME 440C 7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</si>
  <si>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TUBARÃO CHROME 440C 7.5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</si>
  <si>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 </t>
    </r>
    <r>
      <rPr>
        <b/>
        <sz val="10"/>
        <color indexed="8"/>
        <rFont val="Calibri"/>
        <family val="2"/>
        <scheme val="minor"/>
      </rPr>
      <t>TUBARÃO CURVA CHROME 440C 7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</si>
  <si>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TUBARÃO CURVA CHROME 440C 7.5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</si>
  <si>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TUBARÃO ULTRA CHROME 440C 7.5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</si>
  <si>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SEMI-DENTADA CHROME 440C 7”</t>
    </r>
    <r>
      <rPr>
        <sz val="10"/>
        <color indexed="8"/>
        <rFont val="Calibri"/>
        <family val="2"/>
        <scheme val="minor"/>
      </rPr>
      <t xml:space="preserve">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</si>
  <si>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SEMI-DENTADA CHROME 440C 7.5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</si>
  <si>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SEMI-DENTADA CURVA CHROME 440C 7</t>
    </r>
    <r>
      <rPr>
        <sz val="10"/>
        <color indexed="8"/>
        <rFont val="Calibri"/>
        <family val="2"/>
        <scheme val="minor"/>
      </rPr>
      <t>” PREMIUM – PROPETZ</t>
    </r>
  </si>
  <si>
    <r>
      <t xml:space="preserve">TESOURA PROFISSIONAL </t>
    </r>
    <r>
      <rPr>
        <b/>
        <sz val="10"/>
        <color indexed="8"/>
        <rFont val="Calibri"/>
        <family val="2"/>
        <scheme val="minor"/>
      </rPr>
      <t>SEMI-DENTADA CURVA CHROME 440C 7.5</t>
    </r>
    <r>
      <rPr>
        <sz val="10"/>
        <color indexed="8"/>
        <rFont val="Calibri"/>
        <family val="2"/>
        <scheme val="minor"/>
      </rPr>
      <t>” PREMIUM – PROPETZ</t>
    </r>
  </si>
  <si>
    <r>
      <t>Kit de Adaptadores de Inox Propetz</t>
    </r>
    <r>
      <rPr>
        <i/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Máquinas 5 em 1 / 4 em 1</t>
    </r>
    <r>
      <rPr>
        <sz val="10"/>
        <color theme="1"/>
        <rFont val="Calibri"/>
        <family val="2"/>
        <scheme val="minor"/>
      </rPr>
      <t xml:space="preserve"> 08 Peças + Lamina n.30  </t>
    </r>
  </si>
  <si>
    <t>L2AP3-100</t>
  </si>
  <si>
    <r>
      <t>Lâmina de Tosa</t>
    </r>
    <r>
      <rPr>
        <b/>
        <sz val="10"/>
        <color theme="1"/>
        <rFont val="Calibri"/>
        <family val="2"/>
        <scheme val="minor"/>
      </rPr>
      <t xml:space="preserve"> PRO X mini</t>
    </r>
    <r>
      <rPr>
        <sz val="10"/>
        <color theme="1"/>
        <rFont val="Calibri"/>
        <family val="2"/>
        <scheme val="minor"/>
      </rPr>
      <t xml:space="preserve"> Propetz de Nº0.25mm (LANÇAMENTO)</t>
    </r>
  </si>
  <si>
    <t>L3P-CF940-100</t>
  </si>
  <si>
    <t>L3X-PS830-100</t>
  </si>
  <si>
    <t>L3X-P7F-100</t>
  </si>
  <si>
    <t>7898670766141</t>
  </si>
  <si>
    <t>7898670766165</t>
  </si>
  <si>
    <t>7898670766172</t>
  </si>
  <si>
    <t>7898670766189</t>
  </si>
  <si>
    <r>
      <t>Lâmina de Tosa Aço Inox Premium Regulável</t>
    </r>
    <r>
      <rPr>
        <b/>
        <sz val="10"/>
        <color theme="1"/>
        <rFont val="Calibri"/>
        <family val="2"/>
        <scheme val="minor"/>
      </rPr>
      <t xml:space="preserve"> SLIM Nº 8 a Nº 30</t>
    </r>
    <r>
      <rPr>
        <sz val="10"/>
        <color theme="1"/>
        <rFont val="Calibri"/>
        <family val="2"/>
        <scheme val="minor"/>
      </rPr>
      <t xml:space="preserve"> Propetz (LANÇAMENTO)</t>
    </r>
  </si>
  <si>
    <r>
      <t>Lâmina de Tosa Aço Inox Premium Regulável</t>
    </r>
    <r>
      <rPr>
        <b/>
        <sz val="10"/>
        <color theme="1"/>
        <rFont val="Calibri"/>
        <family val="2"/>
        <scheme val="minor"/>
      </rPr>
      <t xml:space="preserve"> ULTRA SLIM Nº 9 a Nº 40</t>
    </r>
    <r>
      <rPr>
        <sz val="10"/>
        <color theme="1"/>
        <rFont val="Calibri"/>
        <family val="2"/>
        <scheme val="minor"/>
      </rPr>
      <t xml:space="preserve"> Propetz (LANÇAMENTO)</t>
    </r>
  </si>
  <si>
    <r>
      <t>Lâmina de Tosa PPS Linha X Regulável</t>
    </r>
    <r>
      <rPr>
        <b/>
        <sz val="10"/>
        <color theme="1"/>
        <rFont val="Calibri"/>
        <family val="2"/>
        <scheme val="minor"/>
      </rPr>
      <t xml:space="preserve"> ULTRA SLIM Nº 9 a Nº 40</t>
    </r>
    <r>
      <rPr>
        <sz val="10"/>
        <color theme="1"/>
        <rFont val="Calibri"/>
        <family val="2"/>
        <scheme val="minor"/>
      </rPr>
      <t xml:space="preserve"> Propetz (LANÇAMENTO)</t>
    </r>
  </si>
  <si>
    <t>Lâminas de Tosa Propetz - PRO 7 (5 em 1)</t>
  </si>
  <si>
    <t>Lâminas de Tosa Propetz - PRO 6/PRO X (4 em 1)</t>
  </si>
  <si>
    <r>
      <t>Lâmina de Tosa PPS Linha X</t>
    </r>
    <r>
      <rPr>
        <b/>
        <sz val="10"/>
        <color theme="1"/>
        <rFont val="Calibri"/>
        <family val="2"/>
        <scheme val="minor"/>
      </rPr>
      <t xml:space="preserve"> 7F</t>
    </r>
    <r>
      <rPr>
        <sz val="10"/>
        <color theme="1"/>
        <rFont val="Calibri"/>
        <family val="2"/>
        <scheme val="minor"/>
      </rPr>
      <t xml:space="preserve"> Propetz (LANÇAMENTO)</t>
    </r>
  </si>
  <si>
    <r>
      <t>Lâmina de Tosa PPS Linha X</t>
    </r>
    <r>
      <rPr>
        <b/>
        <sz val="10"/>
        <color theme="1"/>
        <rFont val="Calibri"/>
        <family val="2"/>
        <scheme val="minor"/>
      </rPr>
      <t xml:space="preserve"> 4F</t>
    </r>
    <r>
      <rPr>
        <sz val="10"/>
        <color theme="1"/>
        <rFont val="Calibri"/>
        <family val="2"/>
        <scheme val="minor"/>
      </rPr>
      <t xml:space="preserve"> Propetz (LANÇAMENTO)</t>
    </r>
  </si>
  <si>
    <r>
      <t xml:space="preserve">Lâmina de Tosa Aço Inox Premium </t>
    </r>
    <r>
      <rPr>
        <b/>
        <sz val="10"/>
        <color theme="1"/>
        <rFont val="Calibri"/>
        <family val="2"/>
        <scheme val="minor"/>
      </rPr>
      <t>45</t>
    </r>
    <r>
      <rPr>
        <sz val="10"/>
        <color theme="1"/>
        <rFont val="Calibri"/>
        <family val="2"/>
        <scheme val="minor"/>
      </rPr>
      <t xml:space="preserve"> Propetz (LANÇAMENTO)</t>
    </r>
  </si>
  <si>
    <t>Lâminas de Tosa Propetz - MO 3/ PRO 4/ PRO X mini</t>
  </si>
  <si>
    <r>
      <t xml:space="preserve">Lâmina de Tosa PPS Linha X Regulável </t>
    </r>
    <r>
      <rPr>
        <b/>
        <sz val="10"/>
        <color theme="1"/>
        <rFont val="Calibri"/>
        <family val="2"/>
        <scheme val="minor"/>
      </rPr>
      <t>SLIM Nº 9 a Nº 30</t>
    </r>
    <r>
      <rPr>
        <sz val="10"/>
        <color theme="1"/>
        <rFont val="Calibri"/>
        <family val="2"/>
        <scheme val="minor"/>
      </rPr>
      <t xml:space="preserve"> Propetz</t>
    </r>
  </si>
  <si>
    <r>
      <t>Lâmina de Tosa PPS LINHA X Regulável</t>
    </r>
    <r>
      <rPr>
        <b/>
        <sz val="10"/>
        <color theme="1"/>
        <rFont val="Calibri"/>
        <family val="2"/>
        <scheme val="minor"/>
      </rPr>
      <t xml:space="preserve"> ULTRA SLIM Nº 10 a Nº 40</t>
    </r>
    <r>
      <rPr>
        <sz val="10"/>
        <color theme="1"/>
        <rFont val="Calibri"/>
        <family val="2"/>
        <scheme val="minor"/>
      </rPr>
      <t xml:space="preserve"> Propetz</t>
    </r>
  </si>
  <si>
    <r>
      <t xml:space="preserve">Lâmina de Tosa PPS Linha X </t>
    </r>
    <r>
      <rPr>
        <b/>
        <sz val="10"/>
        <color theme="1"/>
        <rFont val="Calibri"/>
        <family val="2"/>
        <scheme val="minor"/>
      </rPr>
      <t xml:space="preserve">7F </t>
    </r>
    <r>
      <rPr>
        <sz val="10"/>
        <color theme="1"/>
        <rFont val="Calibri"/>
        <family val="2"/>
        <scheme val="minor"/>
      </rPr>
      <t xml:space="preserve">PRO6 Propetz </t>
    </r>
  </si>
  <si>
    <r>
      <t xml:space="preserve">Lâmina de Tosa PPS Linha X </t>
    </r>
    <r>
      <rPr>
        <b/>
        <sz val="10"/>
        <color theme="1"/>
        <rFont val="Calibri"/>
        <family val="2"/>
        <scheme val="minor"/>
      </rPr>
      <t xml:space="preserve">4F </t>
    </r>
    <r>
      <rPr>
        <sz val="10"/>
        <color theme="1"/>
        <rFont val="Calibri"/>
        <family val="2"/>
        <scheme val="minor"/>
      </rPr>
      <t xml:space="preserve">PRO6 Propetz </t>
    </r>
  </si>
  <si>
    <r>
      <t xml:space="preserve">Lâmina de Tosa PPS Linha X </t>
    </r>
    <r>
      <rPr>
        <b/>
        <sz val="10"/>
        <color theme="1"/>
        <rFont val="Calibri"/>
        <family val="2"/>
        <scheme val="minor"/>
      </rPr>
      <t xml:space="preserve">5F </t>
    </r>
    <r>
      <rPr>
        <sz val="10"/>
        <color theme="1"/>
        <rFont val="Calibri"/>
        <family val="2"/>
        <scheme val="minor"/>
      </rPr>
      <t xml:space="preserve">PRO6 Propetz </t>
    </r>
  </si>
  <si>
    <r>
      <t xml:space="preserve">Lâmina de Tosa PPS Linha X </t>
    </r>
    <r>
      <rPr>
        <b/>
        <sz val="10"/>
        <color theme="1"/>
        <rFont val="Calibri"/>
        <family val="2"/>
        <scheme val="minor"/>
      </rPr>
      <t xml:space="preserve">3F </t>
    </r>
    <r>
      <rPr>
        <sz val="10"/>
        <color theme="1"/>
        <rFont val="Calibri"/>
        <family val="2"/>
        <scheme val="minor"/>
      </rPr>
      <t xml:space="preserve">PRO6 Propetz </t>
    </r>
  </si>
  <si>
    <r>
      <t xml:space="preserve">Lamina de Tosa PPS Linha X </t>
    </r>
    <r>
      <rPr>
        <b/>
        <sz val="10"/>
        <color rgb="FF000000"/>
        <rFont val="Calibri"/>
        <family val="2"/>
        <scheme val="minor"/>
      </rPr>
      <t>30</t>
    </r>
    <r>
      <rPr>
        <sz val="10"/>
        <color rgb="FF000000"/>
        <rFont val="Calibri"/>
        <family val="2"/>
        <scheme val="minor"/>
      </rPr>
      <t xml:space="preserve"> Propetz </t>
    </r>
  </si>
  <si>
    <r>
      <t xml:space="preserve">Lamina de Tosa Aço Inox Premium </t>
    </r>
    <r>
      <rPr>
        <b/>
        <sz val="10"/>
        <color rgb="FF000000"/>
        <rFont val="Calibri"/>
        <family val="2"/>
        <scheme val="minor"/>
      </rPr>
      <t>30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Propetz</t>
    </r>
  </si>
  <si>
    <t>Lâminas de Tosa Propetz - MO 3/PRO 4/PRO X mini</t>
  </si>
  <si>
    <t>Lâminas de Tosa Propetz - PRO 6/ PRO X (4 em 1)</t>
  </si>
  <si>
    <t>IPI</t>
  </si>
  <si>
    <t>L3P-CC045-100</t>
  </si>
  <si>
    <t>L3X-P4F-100</t>
  </si>
  <si>
    <r>
      <t xml:space="preserve">Lâmina De Tosa </t>
    </r>
    <r>
      <rPr>
        <b/>
        <sz val="10"/>
        <color rgb="FF1D1C1D"/>
        <rFont val="Calibri"/>
        <family val="2"/>
      </rPr>
      <t>9</t>
    </r>
    <r>
      <rPr>
        <sz val="10"/>
        <color rgb="FF1D1C1D"/>
        <rFont val="Calibri"/>
        <family val="2"/>
      </rPr>
      <t xml:space="preserve"> Titanium Super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</si>
  <si>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50</t>
    </r>
    <r>
      <rPr>
        <sz val="10"/>
        <color rgb="FF1D1C1D"/>
        <rFont val="Calibri"/>
        <family val="2"/>
      </rPr>
      <t xml:space="preserve"> Titanium Super Premium Propetz </t>
    </r>
  </si>
  <si>
    <r>
      <t xml:space="preserve">Lâmina De Tosa </t>
    </r>
    <r>
      <rPr>
        <b/>
        <sz val="10"/>
        <color rgb="FF1D1C1D"/>
        <rFont val="Calibri"/>
        <family val="2"/>
        <scheme val="minor"/>
      </rPr>
      <t>5F</t>
    </r>
    <r>
      <rPr>
        <sz val="10"/>
        <color rgb="FF1D1C1D"/>
        <rFont val="Calibri"/>
        <family val="2"/>
        <scheme val="minor"/>
      </rPr>
      <t xml:space="preserve"> Aço Inox Premium Propetz </t>
    </r>
  </si>
  <si>
    <t xml:space="preserve">Lâmina De Tosa 9 Titanium Super Premium Propetz </t>
  </si>
  <si>
    <t xml:space="preserve">Lâmina De Tosa 15 Titanium Super Premium Propetz </t>
  </si>
  <si>
    <t xml:space="preserve">Lâmina De Tosa 50 Titanium Super Premium Propetz </t>
  </si>
  <si>
    <r>
      <t>Kit de Adaptadores de Inox Propetz</t>
    </r>
    <r>
      <rPr>
        <i/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Máquinas 5 em 1 / 4 em 1</t>
    </r>
    <r>
      <rPr>
        <sz val="10"/>
        <color theme="1"/>
        <rFont val="Calibri"/>
        <family val="2"/>
        <scheme val="minor"/>
      </rPr>
      <t xml:space="preserve"> 08 Peças </t>
    </r>
  </si>
  <si>
    <t>L3X-PS940-100</t>
  </si>
  <si>
    <r>
      <t xml:space="preserve">Máquina De Tosa </t>
    </r>
    <r>
      <rPr>
        <b/>
        <sz val="10"/>
        <color theme="1"/>
        <rFont val="Calibri"/>
        <family val="2"/>
        <scheme val="minor"/>
      </rPr>
      <t>PLUMA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Profissional, Bivolt </t>
    </r>
  </si>
  <si>
    <r>
      <t xml:space="preserve">Máquina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 xml:space="preserve">PRETA - </t>
    </r>
    <r>
      <rPr>
        <sz val="10"/>
        <color theme="1"/>
        <rFont val="Calibri"/>
        <family val="2"/>
        <scheme val="minor"/>
      </rPr>
      <t xml:space="preserve">5 em 1, Bivolt </t>
    </r>
  </si>
  <si>
    <r>
      <t xml:space="preserve">Máquina De Tosa </t>
    </r>
    <r>
      <rPr>
        <b/>
        <sz val="10"/>
        <color theme="1"/>
        <rFont val="Calibri"/>
        <family val="2"/>
        <scheme val="minor"/>
      </rPr>
      <t>PRO X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- 4 em 1, Bivolt </t>
    </r>
  </si>
  <si>
    <r>
      <t xml:space="preserve">Máquina De Tosa </t>
    </r>
    <r>
      <rPr>
        <b/>
        <sz val="10"/>
        <color theme="1"/>
        <rFont val="Calibri"/>
        <family val="2"/>
        <scheme val="minor"/>
      </rPr>
      <t>PRO X mini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VERDE</t>
    </r>
    <r>
      <rPr>
        <sz val="10"/>
        <color theme="1"/>
        <rFont val="Calibri"/>
        <family val="2"/>
        <scheme val="minor"/>
      </rPr>
      <t xml:space="preserve"> Acabamento, Bivolt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</si>
  <si>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Aço Inox Premium Regulável</t>
    </r>
    <r>
      <rPr>
        <b/>
        <sz val="10"/>
        <color theme="1"/>
        <rFont val="Calibri"/>
        <family val="2"/>
        <scheme val="minor"/>
      </rPr>
      <t xml:space="preserve"> SLIM Nº 8 a Nº 30</t>
    </r>
    <r>
      <rPr>
        <sz val="10"/>
        <color theme="1"/>
        <rFont val="Calibri"/>
        <family val="2"/>
        <scheme val="minor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</si>
  <si>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Aço Inox Premium Regulável</t>
    </r>
    <r>
      <rPr>
        <b/>
        <sz val="10"/>
        <color theme="1"/>
        <rFont val="Calibri"/>
        <family val="2"/>
        <scheme val="minor"/>
      </rPr>
      <t xml:space="preserve"> ULTRA SLIM Nº 9 a Nº 40</t>
    </r>
    <r>
      <rPr>
        <sz val="10"/>
        <color theme="1"/>
        <rFont val="Calibri"/>
        <family val="2"/>
        <scheme val="minor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</si>
  <si>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PPS Linha X Regulável</t>
    </r>
    <r>
      <rPr>
        <b/>
        <sz val="10"/>
        <color theme="1"/>
        <rFont val="Calibri"/>
        <family val="2"/>
        <scheme val="minor"/>
      </rPr>
      <t xml:space="preserve"> ULTRA SLIM Nº 9 a Nº 40</t>
    </r>
    <r>
      <rPr>
        <sz val="10"/>
        <color theme="1"/>
        <rFont val="Calibri"/>
        <family val="2"/>
        <scheme val="minor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</si>
  <si>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PPS Linha X</t>
    </r>
    <r>
      <rPr>
        <b/>
        <sz val="10"/>
        <color theme="1"/>
        <rFont val="Calibri"/>
        <family val="2"/>
        <scheme val="minor"/>
      </rPr>
      <t xml:space="preserve"> 7F</t>
    </r>
    <r>
      <rPr>
        <sz val="10"/>
        <color theme="1"/>
        <rFont val="Calibri"/>
        <family val="2"/>
        <scheme val="minor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</si>
  <si>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PPS Linha X</t>
    </r>
    <r>
      <rPr>
        <b/>
        <sz val="10"/>
        <color theme="1"/>
        <rFont val="Calibri"/>
        <family val="2"/>
        <scheme val="minor"/>
      </rPr>
      <t xml:space="preserve"> 4F</t>
    </r>
    <r>
      <rPr>
        <sz val="10"/>
        <color theme="1"/>
        <rFont val="Calibri"/>
        <family val="2"/>
        <scheme val="minor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</si>
  <si>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Aço Inox Premium </t>
    </r>
    <r>
      <rPr>
        <b/>
        <sz val="10"/>
        <color theme="1"/>
        <rFont val="Calibri"/>
        <family val="2"/>
        <scheme val="minor"/>
      </rPr>
      <t>45</t>
    </r>
    <r>
      <rPr>
        <sz val="10"/>
        <color theme="1"/>
        <rFont val="Calibri"/>
        <family val="2"/>
        <scheme val="minor"/>
      </rPr>
      <t xml:space="preserve"> Propetz </t>
    </r>
  </si>
  <si>
    <r>
      <t>Lâmina de Tosa</t>
    </r>
    <r>
      <rPr>
        <b/>
        <sz val="10"/>
        <color theme="1"/>
        <rFont val="Calibri"/>
        <family val="2"/>
        <scheme val="minor"/>
      </rPr>
      <t xml:space="preserve"> PRO X mini</t>
    </r>
    <r>
      <rPr>
        <sz val="10"/>
        <color theme="1"/>
        <rFont val="Calibri"/>
        <family val="2"/>
        <scheme val="minor"/>
      </rPr>
      <t xml:space="preserve"> Propetz de Nº0.25mm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</si>
  <si>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PPS Linha X</t>
    </r>
    <r>
      <rPr>
        <b/>
        <sz val="10"/>
        <color theme="1"/>
        <rFont val="Calibri"/>
        <family val="2"/>
        <scheme val="minor"/>
      </rPr>
      <t xml:space="preserve"> 3F</t>
    </r>
    <r>
      <rPr>
        <sz val="10"/>
        <color theme="1"/>
        <rFont val="Calibri"/>
        <family val="2"/>
        <scheme val="minor"/>
      </rPr>
      <t xml:space="preserve"> Propetz </t>
    </r>
  </si>
  <si>
    <r>
      <t>Lâmina de Tosa PPS Linha X</t>
    </r>
    <r>
      <rPr>
        <b/>
        <sz val="10"/>
        <color theme="1"/>
        <rFont val="Calibri"/>
        <family val="2"/>
        <scheme val="minor"/>
      </rPr>
      <t xml:space="preserve"> 3F</t>
    </r>
    <r>
      <rPr>
        <sz val="10"/>
        <color theme="1"/>
        <rFont val="Calibri"/>
        <family val="2"/>
        <scheme val="minor"/>
      </rPr>
      <t xml:space="preserve"> Propetz (LANÇAMENTO)</t>
    </r>
  </si>
  <si>
    <t>L3X-P3F-100</t>
  </si>
  <si>
    <t>L2APROXS-100</t>
  </si>
  <si>
    <r>
      <t xml:space="preserve">Lâmina De Tosa </t>
    </r>
    <r>
      <rPr>
        <b/>
        <sz val="10"/>
        <color rgb="FF1D1C1D"/>
        <rFont val="Calibri"/>
        <family val="2"/>
      </rPr>
      <t>15</t>
    </r>
    <r>
      <rPr>
        <sz val="10"/>
        <color rgb="FF1D1C1D"/>
        <rFont val="Calibri"/>
        <family val="2"/>
      </rPr>
      <t xml:space="preserve"> Titanium Super Premium Propetz </t>
    </r>
  </si>
  <si>
    <t>L2APROXUS-100</t>
  </si>
  <si>
    <t>L2AP630XB-200</t>
  </si>
  <si>
    <t>Lâmina de Tosa PPS Linha X 5F Propetz (LANÇAMENTO)</t>
  </si>
  <si>
    <t>Lâmina de Tosa PPS Linha X 6F Propetz (LANÇAMENTO)</t>
  </si>
  <si>
    <t>L3X-P5F-100</t>
  </si>
  <si>
    <t>L3X-P6F-100</t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</si>
  <si>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PPS Linha X</t>
    </r>
    <r>
      <rPr>
        <b/>
        <sz val="10"/>
        <color theme="1"/>
        <rFont val="Calibri"/>
        <family val="2"/>
        <scheme val="minor"/>
      </rPr>
      <t xml:space="preserve"> 5F</t>
    </r>
    <r>
      <rPr>
        <sz val="10"/>
        <color theme="1"/>
        <rFont val="Calibri"/>
        <family val="2"/>
        <scheme val="minor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</si>
  <si>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  <scheme val="minor"/>
      </rPr>
      <t>PRO7</t>
    </r>
    <r>
      <rPr>
        <sz val="10"/>
        <color theme="1"/>
        <rFont val="Calibri"/>
        <family val="2"/>
        <scheme val="minor"/>
      </rPr>
      <t xml:space="preserve"> PPS Linha X</t>
    </r>
    <r>
      <rPr>
        <b/>
        <sz val="10"/>
        <color theme="1"/>
        <rFont val="Calibri"/>
        <family val="2"/>
        <scheme val="minor"/>
      </rPr>
      <t xml:space="preserve"> 6F</t>
    </r>
    <r>
      <rPr>
        <sz val="10"/>
        <color theme="1"/>
        <rFont val="Calibri"/>
        <family val="2"/>
        <scheme val="minor"/>
      </rPr>
      <t xml:space="preserve"> Propetz </t>
    </r>
  </si>
  <si>
    <t>Tesoura CANHOTO Profissionais Premium Propetz</t>
  </si>
  <si>
    <t>4PR-75CT-CP-100</t>
  </si>
  <si>
    <t>TESOURA PROFISSIONAL CANHOTO TUBARÃO CHROME 440C 7.5” PREMIUM – PROPETZ</t>
  </si>
  <si>
    <t>4PR-75CC-CP-100</t>
  </si>
  <si>
    <t>TESOURA PROFISSIONAL CANHOTO CURVA CHROME 440C 7.5” PREMIUM – PROPETZ</t>
  </si>
  <si>
    <t>Tesoura CANHOTO Chrome Premium Propetz</t>
  </si>
  <si>
    <t>7898670766288</t>
  </si>
  <si>
    <t>7898670766295</t>
  </si>
  <si>
    <t>G1PA-200</t>
  </si>
  <si>
    <t>B19LA-200</t>
  </si>
  <si>
    <t>B1DP12LA-200</t>
  </si>
  <si>
    <t>A1PA-200</t>
  </si>
  <si>
    <t>Alicate de Unhas Pequeno Azul Propetz (LANÇAMENTO)</t>
  </si>
  <si>
    <t>M1TLA-200</t>
  </si>
  <si>
    <t>Tira laços Azul Propetz</t>
  </si>
  <si>
    <t>D1PX-F31D-100</t>
  </si>
  <si>
    <t>D1PX-F40D-100</t>
  </si>
  <si>
    <t>Faca Stripping 31 Dentes Azul Propetz (LANÇAMENTO)</t>
  </si>
  <si>
    <t>Faca Stripping 40 Dentes Azul Propetz (LANÇAMENTO)</t>
  </si>
  <si>
    <t>Desemboladores - Rakes - Facas &amp; Escovas Mágicas Propetz</t>
  </si>
  <si>
    <t>Desemboladores , Rakes, Facas e Escovas Mágicas Propetz</t>
  </si>
  <si>
    <t>I1PX-M79C-100</t>
  </si>
  <si>
    <t>I1PX-M45L-100</t>
  </si>
  <si>
    <r>
      <t>Escova Mágica p/</t>
    </r>
    <r>
      <rPr>
        <b/>
        <sz val="10"/>
        <color theme="1"/>
        <rFont val="Calibri"/>
        <family val="2"/>
        <scheme val="minor"/>
      </rPr>
      <t xml:space="preserve"> Pelo Curto Média</t>
    </r>
    <r>
      <rPr>
        <sz val="10"/>
        <color theme="1"/>
        <rFont val="Calibri"/>
        <family val="2"/>
        <scheme val="minor"/>
      </rPr>
      <t xml:space="preserve"> Azul Propetz ( LANÇAMENTO)</t>
    </r>
  </si>
  <si>
    <r>
      <t>Escova Mágica p/</t>
    </r>
    <r>
      <rPr>
        <b/>
        <sz val="10"/>
        <color theme="1"/>
        <rFont val="Calibri"/>
        <family val="2"/>
        <scheme val="minor"/>
      </rPr>
      <t xml:space="preserve"> Pelo Longo Média</t>
    </r>
    <r>
      <rPr>
        <sz val="10"/>
        <color theme="1"/>
        <rFont val="Calibri"/>
        <family val="2"/>
        <scheme val="minor"/>
      </rPr>
      <t xml:space="preserve"> Azul Propetz ( LANÇAMENTO)</t>
    </r>
  </si>
  <si>
    <t>E1GCA-200</t>
  </si>
  <si>
    <t>E1CBMA-200</t>
  </si>
  <si>
    <t>E1RBGA-200</t>
  </si>
  <si>
    <t>E1CGA-200</t>
  </si>
  <si>
    <t>E1CMA-200</t>
  </si>
  <si>
    <t>E1CPA-200</t>
  </si>
  <si>
    <t>7898670766523</t>
  </si>
  <si>
    <t>TESOURA PROFISSIONAL SUPER CURVA 440C 7.5” SUPER PREMIUM – PROPETZ NOVO</t>
  </si>
  <si>
    <t>5PR-75SC-TSP-100</t>
  </si>
  <si>
    <t>FORMULÁRIO PEDIDO DISTRIBUIÇÃO D CORP (FOB)</t>
  </si>
  <si>
    <t xml:space="preserve">A prazo condiçoes sujeitas analise financeira </t>
  </si>
  <si>
    <t>Condição a prazo ( parcelas minimas de R$ 1.000,00)</t>
  </si>
  <si>
    <t>A VISTA</t>
  </si>
  <si>
    <t>REV 01/2024</t>
  </si>
  <si>
    <t>TOTAL A PRAZO</t>
  </si>
  <si>
    <t>PRODUTOS</t>
  </si>
  <si>
    <t>DATA</t>
  </si>
  <si>
    <t>RESPONSAVEL</t>
  </si>
  <si>
    <t>MODIFICACOES</t>
  </si>
  <si>
    <t>REVISAO</t>
  </si>
  <si>
    <t>FERNANDO DIAS</t>
  </si>
  <si>
    <t>Definido um controle de versao do documento para melhor rastreabilidade</t>
  </si>
  <si>
    <t>Ocultada o combo de preco a vista e a prazo pois para os resultados oriundos da pesquisa se torna redundante</t>
  </si>
  <si>
    <t>Ajustadas algumas categorias de produtos entre as planilhas</t>
  </si>
  <si>
    <t>Criado o campo preco a vista e a prazo para calcular os valores finais apos selecao de quantidades</t>
  </si>
  <si>
    <t>Linha C216 na Planilha FOB criada para demonstrar a diferenca entre preco total a prazo e total a vista</t>
  </si>
  <si>
    <t>Ajustes na visualizacao</t>
  </si>
  <si>
    <t>Congelada a linha 14 na planilha FOB, mantendo o cabecalho no topo e movimentando apenas os produtos abaixo</t>
  </si>
  <si>
    <t>PRAZO</t>
  </si>
  <si>
    <t>PRAZO - 5%</t>
  </si>
  <si>
    <t>Espelhado o valor da coluna C da Planilha 2 para a coluna C de Valor Sugerido eliminando o retrabalho</t>
  </si>
  <si>
    <t>Espelhado o valor da coluna B da Planilha 2 para a coluna F da Planilha FOB</t>
  </si>
  <si>
    <t>Descongelada a linha 14 na planilha FOB</t>
  </si>
  <si>
    <t>7898670761054</t>
  </si>
  <si>
    <t>7898670761092</t>
  </si>
  <si>
    <t>7898670761078</t>
  </si>
  <si>
    <t>TOTAL A VISTA</t>
  </si>
  <si>
    <t>Corrigidos 3 produtos que perderam a referência do preço</t>
  </si>
  <si>
    <t>Alterada a ordem do quadro geral com os somatórios a vista e a prazo ficando igual ao rodapé</t>
  </si>
  <si>
    <t>Inclusa coluna K na planilha FOB, valores referentes a coluna C da Planilha 2</t>
  </si>
  <si>
    <t>Ajuste em referências que foram perdidas na formatação e exclusão de alguns produtos</t>
  </si>
  <si>
    <t>REV 02/2024</t>
  </si>
  <si>
    <t>REV 03/2024</t>
  </si>
  <si>
    <t>Criada nova coluna com o total de valor a vista para soma dos valores totais com as quantidades</t>
  </si>
  <si>
    <t>VALOR COM IPI</t>
  </si>
  <si>
    <t>Revisados os calculos, formulas e totalizadores e testados os resultados</t>
  </si>
  <si>
    <t>VALOR A VISTA</t>
  </si>
  <si>
    <t>VALOR  A PRAZO</t>
  </si>
  <si>
    <t>Data Aniversario:</t>
  </si>
  <si>
    <t>VALOR  COM IPI</t>
  </si>
  <si>
    <t>TESOURA PROFISSIONAL SEMI-DENTADA ULTRA 440C 7.5” SUPER PREMIUM – PROPETZ</t>
  </si>
  <si>
    <t>5PR-75SDU-TSP-100</t>
  </si>
  <si>
    <t xml:space="preserve">TESOURA PROFISSIONAL SEMI-DENTADA ULTRA 440C 7.5” SUPER PREMIUM – PROPETZ </t>
  </si>
  <si>
    <t>L3P-CS830-200</t>
  </si>
  <si>
    <t>L2AP630SS-200</t>
  </si>
  <si>
    <t>TOTAL S/ IPI</t>
  </si>
  <si>
    <t>REV 01/2025</t>
  </si>
  <si>
    <t>Criada coluna com valor total sem ipi</t>
  </si>
  <si>
    <t>PRO 6 SMART DIGITAL DETACHABLE BLADES CLIPPER BLACK</t>
  </si>
  <si>
    <t>PRO 7 preta premium</t>
  </si>
  <si>
    <t xml:space="preserve">PRO X Azul propetz </t>
  </si>
  <si>
    <t>SLIM BLADES CERAMIC 9#-30#ADVANCE PRO 6</t>
  </si>
  <si>
    <t>ULTRA-THIN BLADES CERAMIC 10#-40# ADVANCE PRO 6</t>
  </si>
  <si>
    <t>LAM.  PRO 30#/10# - X Black</t>
  </si>
  <si>
    <t>LAM.  PRO 30#/10# - Premium Stainless Stell</t>
  </si>
  <si>
    <t>THICK BLADE ONLY FIT PRO6 CLIPPER 7FC (3MM)</t>
  </si>
  <si>
    <t>THICK BLADE ONLY FIT PRO6 CLIPPER 5FC (6MM)</t>
  </si>
  <si>
    <t>THICK BLADE ONLY FIT PRO6 CLIPPER 4FC (9MM)</t>
  </si>
  <si>
    <t>THICK BLADE ONLY FIT PRO6 CLIPPER 3FC (12MM)</t>
  </si>
  <si>
    <t>Pro X Mini</t>
  </si>
  <si>
    <t xml:space="preserve">Lamina Pro3 </t>
  </si>
  <si>
    <t>MO3 CUTE CANDY CLIPPER BLUE</t>
  </si>
  <si>
    <t>MO3 CUTE CANDY CLIPPER PINK</t>
  </si>
  <si>
    <t>CERAMIC BLADE FOR MO3</t>
  </si>
  <si>
    <t>CERAMIC BLADE FOR PRO4</t>
  </si>
  <si>
    <t>ATTACHMENT COMBS. 8PCS AS 1 SET</t>
  </si>
  <si>
    <t>ATTACHMENT COMBS. 8PCS AS 1 SET PRO6</t>
  </si>
  <si>
    <t>CERAMIC CUTTER FOR BLADES</t>
  </si>
  <si>
    <t xml:space="preserve">Lâmina 50 Super Premium Titanium </t>
  </si>
  <si>
    <t xml:space="preserve">Lâmina 40 Super Premium Titanium </t>
  </si>
  <si>
    <t xml:space="preserve">Lâmina 30 Super Premium Titanium </t>
  </si>
  <si>
    <t xml:space="preserve">Lâmina 15 Super Premium Titanium </t>
  </si>
  <si>
    <t xml:space="preserve">Lâmina 10 Super Premium Titanium </t>
  </si>
  <si>
    <t xml:space="preserve">Lâmina 09 Super Premium Titanium </t>
  </si>
  <si>
    <t xml:space="preserve">Lâmina 7F Super Premium Titanium </t>
  </si>
  <si>
    <t xml:space="preserve">Lâmina 5F Super Premium Titanium </t>
  </si>
  <si>
    <t xml:space="preserve">Lâmina 4F Super Premium Titanium </t>
  </si>
  <si>
    <t xml:space="preserve">Lâmina 3F Super Premium Titanium </t>
  </si>
  <si>
    <t>EXTREME-EDGE 50# BLADE - Linha Premium</t>
  </si>
  <si>
    <t>EXTREME-EDGE 40# BLADE - Linha Premium</t>
  </si>
  <si>
    <t>EXTREME-EDGE 15 BLADE - Linha Premium</t>
  </si>
  <si>
    <t>EXTREME-EDGE 10 BLADE - Linha Premium</t>
  </si>
  <si>
    <t>EXTREME-EDGE 9 BLADE - Linha Premium</t>
  </si>
  <si>
    <t>EXTREME-EDGE 30 BLADE - Linha Premium</t>
  </si>
  <si>
    <t>EXTREME-EDGE 7F BLADE - Linha Premium</t>
  </si>
  <si>
    <t>EXTREME-EDGE 5F BLADE - Linha Premium</t>
  </si>
  <si>
    <t>EXTREME-EDGE 4F BLADE - Linha Premium</t>
  </si>
  <si>
    <t>EXTREME-EDGE 3F BLADE - Linha Premium</t>
  </si>
  <si>
    <t>CHPRO4BLACK</t>
  </si>
  <si>
    <t>BASE CARREGADORA PARA MAQUINA PRO4 PRETA PROPETZ (sem cabo)</t>
  </si>
  <si>
    <t>PLUGPRO4</t>
  </si>
  <si>
    <t>CABO ADAPTADOR PARA MAQUINA PRO4 PROPETZ (cabo)</t>
  </si>
  <si>
    <t>CHPRO6BLACK</t>
  </si>
  <si>
    <t>BASE CARREGADORA PARA MAQUINA PRO6 PRETA PROPETZ (sem cabo)</t>
  </si>
  <si>
    <t>PLUGPRO6</t>
  </si>
  <si>
    <t>CABO ADAPTADOR PARA MAQUINA PRO6 PROPETZ (cabo)</t>
  </si>
  <si>
    <t>PLASTICBLADE1</t>
  </si>
  <si>
    <t>GUIA DE LAMINA TITANIUM PROPETZ</t>
  </si>
  <si>
    <t>TENSION1</t>
  </si>
  <si>
    <t>MOLA DE LAMINA TITANIUM PROPETZ</t>
  </si>
  <si>
    <t>BRACKET1</t>
  </si>
  <si>
    <t>SOQUETE PARA LAMINA TITANIUM PROPETZ</t>
  </si>
  <si>
    <t>SCREWBLADE1</t>
  </si>
  <si>
    <t>PARAFUSO P; LAMINAS TITANIUM PROPETZ</t>
  </si>
  <si>
    <t>CORDMO3</t>
  </si>
  <si>
    <t>CABO USB MAQUINA MO3 PROPETZ</t>
  </si>
  <si>
    <t>TESOURA CURVA 6.5 ALUMÍNIO PROPETZ AKEMI - AZUL</t>
  </si>
  <si>
    <t>TESOURA CURVA 6.5 ALUMÍNIO PROPETZ AKEMI - ROSA</t>
  </si>
  <si>
    <t>TESOURA CURVA 7 ALUMÍNIO PROPETZ AKEMI - AZUL</t>
  </si>
  <si>
    <t>TESOURA CURVA 7 ALUMÍNIO PROPETZ AKEMI - ROSA</t>
  </si>
  <si>
    <t>Estojo X para 20 Tesouras Propetz</t>
  </si>
  <si>
    <t>Estojo X para 10 Tesouras Propetz</t>
  </si>
  <si>
    <t>Estojo X para 4 Tesouras Propetz</t>
  </si>
  <si>
    <t>Escova Pinos / Nylon Dupla Grande Azul Propetz</t>
  </si>
  <si>
    <t>Escova Pinos s/ Bolinha Grande Azul Propetz</t>
  </si>
  <si>
    <t>Escova Pinos s/ Bolinha Média Azul Propetz</t>
  </si>
  <si>
    <t>Escova Premium Pinos s/ Bolinha Grande Dourada Propetz</t>
  </si>
  <si>
    <t>Escova premium Pinos s/ Bolinha Média Dourada Propetz</t>
  </si>
  <si>
    <t>Rasqueadeira Premium Reta Grande Dourada Propetz</t>
  </si>
  <si>
    <t xml:space="preserve">Rasqueadeira Premium Reta Grande Pinos Macios Dourada Propetz </t>
  </si>
  <si>
    <t xml:space="preserve">Rasqueadeira Premium Curva Média Pinos Longos Firmes Dourada Propetz </t>
  </si>
  <si>
    <t>Rasqueadeira Premium Curva Média Pinos Longos Regulares Dourada Propetz</t>
  </si>
  <si>
    <t>Rasqueadeira Curva Grande Azul Propetz</t>
  </si>
  <si>
    <t>Rasqueadeira Curva c/ Bolinha Grande Azul Propetz</t>
  </si>
  <si>
    <t>Rasqueadeira Curva c/ Bolinha Média Azul Propetz</t>
  </si>
  <si>
    <t>Rasqueadeira Reta c/ Bolinha Média Azul Propetz</t>
  </si>
  <si>
    <t>Rasqueadeira Clássica Reta Média Azul Propetz</t>
  </si>
  <si>
    <t>Rasqueadeira Clássica Reta Micro Azul Propetz</t>
  </si>
  <si>
    <t>Rasqueadeira Autolimpante Grande Pop Propetz</t>
  </si>
  <si>
    <t>Pente 25cm Duplo Alumínio Azul Propetz</t>
  </si>
  <si>
    <t>Pente 30cm Duplo Alumínio Azul Propetz</t>
  </si>
  <si>
    <t>Pente 19cm akemi aluminio Propetz</t>
  </si>
  <si>
    <t>Pente 23cm akemi aluminio Propetz</t>
  </si>
  <si>
    <t>Pente 19cm akemi Aço inox Propetz</t>
  </si>
  <si>
    <t>Pente 23cm akemi Aço inox Propetz</t>
  </si>
  <si>
    <t>Rake Subpelo 20 Dentes Pelos Curtos Azul Propetz</t>
  </si>
  <si>
    <t>Rake Subpelo 13 Dentes Pelos Curtos Azul Propetz</t>
  </si>
  <si>
    <t>Desembolador Matbreaker Azul Propetz</t>
  </si>
  <si>
    <t>Alicate de Unhas Grande Azul Propetz</t>
  </si>
  <si>
    <t>Alicate de Unhas Pequeno Azul Propetz</t>
  </si>
  <si>
    <t>Tesoura  Reta 7,5" Azul Propetz</t>
  </si>
  <si>
    <t>Tesoura  Curva  7,5" Azul Propetz</t>
  </si>
  <si>
    <t>Tesoura  Semi-dentada/Tubarão 7" Azul Propetz</t>
  </si>
  <si>
    <t>Tesoura  Ponta Protegida Reta 6" Azul Propetz</t>
  </si>
  <si>
    <t>M1TLP-100</t>
  </si>
  <si>
    <t>Tira Laço POP Propetz</t>
  </si>
  <si>
    <t xml:space="preserve">Pente p/ Topete Azul Propetz </t>
  </si>
  <si>
    <t>Pente Penteado de Metal c/ Cabo Azul Propetz</t>
  </si>
  <si>
    <t>Tesura Premium Reta 7'' 440c Chrome Propetz</t>
  </si>
  <si>
    <t>Tesoura Premium Reta 7,5'' 440c Chrome Propetz</t>
  </si>
  <si>
    <t>Tesoura Premium Reta 8'' 440c  Chrome Premium Propetz</t>
  </si>
  <si>
    <t>Tesoura Premium Reta 8,5'' 440c Chrome Propetz</t>
  </si>
  <si>
    <t>Tesoura Premium Curva 7'' 440c Chrome Propetz</t>
  </si>
  <si>
    <t>Tesoura Premium Curva 7,5'' 440c Chrome Propetz</t>
  </si>
  <si>
    <t>Tesoura Premium Curva 8'' 440c Chrome Propetz</t>
  </si>
  <si>
    <t>Tesoura Premium Curva 8,5'' 440c Chrome Propetz</t>
  </si>
  <si>
    <t>Tesoura Premium Tubarão 7'' 440c Chrome Propetz</t>
  </si>
  <si>
    <t>Tesoura Premium Tubarão 7,5'' 440c Chrome Propetz</t>
  </si>
  <si>
    <t>Tesoura Premium Semi-Dentada 7'' 440c Chrome Propetz</t>
  </si>
  <si>
    <t>Tesoura Premium Semi-Dentada 7,5'' 440c Chrome Propetz</t>
  </si>
  <si>
    <t>Tesoura Super Premium Reta 7,5'' 440c Titanium Propetz</t>
  </si>
  <si>
    <t>Tesoura Super Premium Curva 7,5'' 440c Titanium Propetz</t>
  </si>
  <si>
    <t>Tesoura Super Premium Tubarão 7,5'' 440c Titanium Propetz</t>
  </si>
  <si>
    <t>Tesoura Super Premium Semi-Dentada 7,5'' 440c Titanium Propetz</t>
  </si>
  <si>
    <t>Tesoura Super Premium Tubarão 7,5'' 440c Curva Titanium Propetz</t>
  </si>
  <si>
    <t>Tesoura Super Premium Semi-Dentada 7,5'' 440c Curva Titanium Propetz</t>
  </si>
  <si>
    <t>Tesoura Premium Tubarão 7'' 440c Curva Chrome Propetz</t>
  </si>
  <si>
    <t>Tesoura Premium Tubarão 7,5'' 440c Curva Chrome Propetz</t>
  </si>
  <si>
    <t>Tesoura Premium Semi-Dentada 7'' 440c Curva Chrome Propetz</t>
  </si>
  <si>
    <t>Tesoura Premium Semi-Dentada 7,5'' 440c Curva Chrome Propetz</t>
  </si>
  <si>
    <t>Maquina Modelo A5 com fio PLUMA</t>
  </si>
  <si>
    <t>MP4-SF2P-100</t>
  </si>
  <si>
    <t>Máquina Modelo A5 sem fio VOLARE</t>
  </si>
  <si>
    <t>Tesoura Super Premium Tubarão Ultra 7,5'' 440c Titanium Propetz</t>
  </si>
  <si>
    <t>Tesoura Premium Tubarão Ultra 7,5'' 440c Chrome Propetz</t>
  </si>
  <si>
    <t>Guia propetz 45cm Preta</t>
  </si>
  <si>
    <t>Guia propetz 45cm Azul</t>
  </si>
  <si>
    <t>Guia propetz 45cm Rosa</t>
  </si>
  <si>
    <t>Guia propetz 60cm Preta</t>
  </si>
  <si>
    <t>Guia propetz 60cm Azul</t>
  </si>
  <si>
    <t>Guia propetz 60cm Pink</t>
  </si>
  <si>
    <t>Lamina Pro7 Standard (8-30) Aço Inox (stainless stell)</t>
  </si>
  <si>
    <t>Lamina Pro7 Standard PPS plástic (Plastico PPs quase tao forte quanto aço)</t>
  </si>
  <si>
    <t>Lamina Pro7 Fine (9-40) Aço inox</t>
  </si>
  <si>
    <t>Lamina Pro7 Fine PPS plástic</t>
  </si>
  <si>
    <t>Lamina Pro7 45mm Staniless Stell</t>
  </si>
  <si>
    <t>Lamina Pro7 PPS 7F</t>
  </si>
  <si>
    <t>Lamina Pro7 PPS 6F</t>
  </si>
  <si>
    <t>Lamina Pro7 PPS 5F</t>
  </si>
  <si>
    <t>Lamina Pro7 PPS 4F</t>
  </si>
  <si>
    <t>Lamina Pro7 PPS 3F</t>
  </si>
  <si>
    <t>LÂMINA DE TOSA 30 PREMIUM TITANIUM PROPETZ</t>
  </si>
  <si>
    <t>LÂMINA DE TOSA 40 PREMIUM TITANIUM PROPETZ</t>
  </si>
  <si>
    <t>MP34-AL1-100</t>
  </si>
  <si>
    <t>Alavanca MP3/4</t>
  </si>
  <si>
    <t>MP34-DB1-100</t>
  </si>
  <si>
    <t>Dobradiça MP3/4</t>
  </si>
  <si>
    <t>MP34-TR1-100</t>
  </si>
  <si>
    <t>Trinco MP3/4</t>
  </si>
  <si>
    <t>MP3-MB1X-100</t>
  </si>
  <si>
    <t>Motor Brushless MP3</t>
  </si>
  <si>
    <t>MP3-PC1X-100</t>
  </si>
  <si>
    <t>Placa/Circuito MP3</t>
  </si>
  <si>
    <t>MP3-CP1X-100</t>
  </si>
  <si>
    <t>Cabo/Plug MP3</t>
  </si>
  <si>
    <t>PGT-42003</t>
  </si>
  <si>
    <t>Circuito + Bateria - Pro4</t>
  </si>
  <si>
    <t>PGT-41001</t>
  </si>
  <si>
    <t>Carcaça Superior - Pro4</t>
  </si>
  <si>
    <t>PGT-41002</t>
  </si>
  <si>
    <t>Carcaça Inferior - Pro4</t>
  </si>
  <si>
    <t>PGC-66004</t>
  </si>
  <si>
    <t>Motor - Pro6</t>
  </si>
  <si>
    <t>PGC-66003</t>
  </si>
  <si>
    <t>Circuito + Bateria - Pro6</t>
  </si>
  <si>
    <t>PGC-66001</t>
  </si>
  <si>
    <t>Carcaça Superior - Pro6</t>
  </si>
  <si>
    <t>PGC-66002</t>
  </si>
  <si>
    <t>Carcaça Inferior - Pro6</t>
  </si>
  <si>
    <t>PGT-42004</t>
  </si>
  <si>
    <t xml:space="preserve">Cabo USB - ProX </t>
  </si>
  <si>
    <t>PGC-53003</t>
  </si>
  <si>
    <t>Motor - ProX</t>
  </si>
  <si>
    <t>PGC-53004</t>
  </si>
  <si>
    <t>Circuito + Bateria - ProX</t>
  </si>
  <si>
    <t>PGC-53001</t>
  </si>
  <si>
    <t>Carcaça Supeior - ProX</t>
  </si>
  <si>
    <t>PGC-53002</t>
  </si>
  <si>
    <t>Carcaça Inferior - ProX</t>
  </si>
  <si>
    <t>Cabo USB - ProX Mini</t>
  </si>
  <si>
    <t>PGT-42005</t>
  </si>
  <si>
    <t>Motor - ProX Mini</t>
  </si>
  <si>
    <t>PGT-42006</t>
  </si>
  <si>
    <t>Circuito + Bateria - ProX Mini</t>
  </si>
  <si>
    <t>PGT-42002</t>
  </si>
  <si>
    <t>Carcaça Supeior - ProX Mini</t>
  </si>
  <si>
    <t>PGT-42007</t>
  </si>
  <si>
    <t>Carcaça Inferior - ProX Mini</t>
  </si>
  <si>
    <t>PGC-71001</t>
  </si>
  <si>
    <t>Base de Carga - Pro7</t>
  </si>
  <si>
    <t>PGC-71002</t>
  </si>
  <si>
    <t>Cabo USB - Pro7</t>
  </si>
  <si>
    <t>PGC-71003</t>
  </si>
  <si>
    <t>Plug Adaptador - Pro7</t>
  </si>
  <si>
    <t>PGC-71004</t>
  </si>
  <si>
    <t>Motor - Pro7</t>
  </si>
  <si>
    <t>PGC-71005</t>
  </si>
  <si>
    <t>Circuito + Bateria - Pro7</t>
  </si>
  <si>
    <t>PGC-71006</t>
  </si>
  <si>
    <t>Carcaça Supeior - Pro7</t>
  </si>
  <si>
    <t>PGC-71007</t>
  </si>
  <si>
    <t>Carcaça Inferior - Pro7</t>
  </si>
  <si>
    <t>PGC-53504</t>
  </si>
  <si>
    <t>Motor - MO3</t>
  </si>
  <si>
    <t>PGC-53503</t>
  </si>
  <si>
    <t>Circuito + Bateria + Motor - MO3</t>
  </si>
  <si>
    <t>PGC-53501</t>
  </si>
  <si>
    <t>Carcaça Superior - MO3</t>
  </si>
  <si>
    <t>PGC-53502</t>
  </si>
  <si>
    <t>Carcaça Inferior - MO3</t>
  </si>
  <si>
    <t>PL-001</t>
  </si>
  <si>
    <t>Carcaça Superior - Pluma</t>
  </si>
  <si>
    <t>PL-002</t>
  </si>
  <si>
    <t>Carcaça Inferior - Pluma</t>
  </si>
  <si>
    <t>Tesoura Premium Curva Canhoto 7,5'' 440c Chrome Propetz</t>
  </si>
  <si>
    <t>Tesoura Premium Tubarão Canhoto 7,5'' 440c Chrome Propetz</t>
  </si>
  <si>
    <t>Tesoura Super Premium Super Curva 7,5'' 440c Titanium Propetz</t>
  </si>
  <si>
    <t>Tesoura Super Premium Semi-Dentada Ultra 7,5'' 440c Titanium Propetz</t>
  </si>
  <si>
    <t>FACA 1 31 DENTES DESTRA Propetz x</t>
  </si>
  <si>
    <t>FACA 2 40 DENTES DESTRA Propetz X</t>
  </si>
  <si>
    <t>Esscova Magica 79 dentes media pelo curto Propetz X</t>
  </si>
  <si>
    <t>Esscova Magica 45 dentes media pelo LONGO Propetz X</t>
  </si>
  <si>
    <t>L1PXPA-100</t>
  </si>
  <si>
    <t>Pente Penteado Aluminio Linha X</t>
  </si>
  <si>
    <t>L118-AKI-100</t>
  </si>
  <si>
    <t>Pente Penteado INOX Akemi</t>
  </si>
  <si>
    <t>D1PX-F28D-100</t>
  </si>
  <si>
    <t>FACA 3 28 DENTES DESTRA Propetz X</t>
  </si>
  <si>
    <t>PL‐003</t>
  </si>
  <si>
    <t>Plug Adaptador Pluma</t>
  </si>
  <si>
    <t>E1MCA-200</t>
  </si>
  <si>
    <t>Rasqueadeira Curva Média Azul Propetz</t>
  </si>
  <si>
    <t>TOTAL DE VALOR AÇÃO FEVEREIRO</t>
  </si>
  <si>
    <t>VALOR A PRAZO</t>
  </si>
  <si>
    <t>FOB A PRAZO</t>
  </si>
  <si>
    <t>FOB A VISTA</t>
  </si>
  <si>
    <t>CIF A VISTA</t>
  </si>
  <si>
    <t>CIF A PRAZO</t>
  </si>
  <si>
    <t>TOTAL PROMO A VISTA</t>
  </si>
  <si>
    <t>TOTAL PROMO A PRAZO</t>
  </si>
  <si>
    <t>VALOR DESC</t>
  </si>
  <si>
    <t>TOTAL PROMO S/ DESC</t>
  </si>
  <si>
    <t>FOB DESC A VISTA</t>
  </si>
  <si>
    <t>DESCRIÇÃO</t>
  </si>
  <si>
    <t>REFERENCIA</t>
  </si>
  <si>
    <t>DESCONTO CALCULADO</t>
  </si>
  <si>
    <t>VALOR FOB</t>
  </si>
  <si>
    <t>VALOR CIF</t>
  </si>
  <si>
    <t>TOTAL PEDIDO A PRAZO</t>
  </si>
  <si>
    <t>TOTAL PEDIDO A VISTA</t>
  </si>
  <si>
    <t>FOB A VISTA S/ IPI</t>
  </si>
  <si>
    <t>Rasqueadeira Curva Média  Azul Propetz NOVO</t>
  </si>
  <si>
    <t>Pente Penteado de Metal c/ Cabo Azul Propetz NOVO</t>
  </si>
  <si>
    <t xml:space="preserve">Tira Laço Pop Propetz </t>
  </si>
  <si>
    <t>DESCONTO PROMO</t>
  </si>
  <si>
    <t>TOTAL PROMOÇÃO A PRAZO ACIMA DE R$ 5.000,00</t>
  </si>
  <si>
    <t>TOTAL PROMOÇÃO A VISTA ACIMA DE R$ 5.000,00</t>
  </si>
  <si>
    <r>
      <t xml:space="preserve">Máquina de tosa PRO6 Propetz </t>
    </r>
    <r>
      <rPr>
        <b/>
        <sz val="12"/>
        <color theme="1"/>
        <rFont val="Calibri"/>
        <family val="2"/>
      </rPr>
      <t>Preta</t>
    </r>
    <r>
      <rPr>
        <sz val="10"/>
        <color theme="1"/>
        <rFont val="Calibri"/>
        <family val="2"/>
      </rPr>
      <t xml:space="preserve"> Profissional Acabamento, Bivolt + Lamina 30 Abs</t>
    </r>
  </si>
  <si>
    <r>
      <t xml:space="preserve">Máquina de tosa MO3 Propetz </t>
    </r>
    <r>
      <rPr>
        <b/>
        <sz val="12"/>
        <color theme="1"/>
        <rFont val="Calibri"/>
        <family val="2"/>
      </rPr>
      <t>Azul</t>
    </r>
    <r>
      <rPr>
        <sz val="10"/>
        <color theme="1"/>
        <rFont val="Calibri"/>
        <family val="2"/>
      </rPr>
      <t xml:space="preserve">, Lâmina de Cerâmica, Bivolt  </t>
    </r>
  </si>
  <si>
    <r>
      <t xml:space="preserve">Máquina de tosa MO3 Propetz </t>
    </r>
    <r>
      <rPr>
        <b/>
        <sz val="12"/>
        <color theme="1"/>
        <rFont val="Calibri"/>
        <family val="2"/>
      </rPr>
      <t>Rosa</t>
    </r>
    <r>
      <rPr>
        <sz val="10"/>
        <color theme="1"/>
        <rFont val="Calibri"/>
        <family val="2"/>
      </rPr>
      <t xml:space="preserve">, Lâmina de Cerâmica, Bivolt  </t>
    </r>
  </si>
  <si>
    <t xml:space="preserve"> PEDIDOS ACIMA DE R$ 5.000,00</t>
  </si>
  <si>
    <t>E1CBGA-200</t>
  </si>
  <si>
    <t xml:space="preserve">Kit de Adaptadores de Inox Propetz Laminas Profissionais 08 Peças  </t>
  </si>
  <si>
    <t>Pente Penteado de Metal 18cm c/ Cabo Azul Propetz NOVO</t>
  </si>
  <si>
    <t>L1PP6A-200</t>
  </si>
  <si>
    <t>Rasqueadeira Curva Média  Azul Propetz (NOVO CABO)</t>
  </si>
  <si>
    <t>Pente Penteado 18cm Akemi Aço Inox Propetz</t>
  </si>
  <si>
    <t>PIX ou Transferencia</t>
  </si>
  <si>
    <t>MP4-SF1P-100</t>
  </si>
  <si>
    <r>
      <t xml:space="preserve">Máquina De Tosa </t>
    </r>
    <r>
      <rPr>
        <b/>
        <sz val="10"/>
        <color theme="1"/>
        <rFont val="Calibri"/>
        <family val="2"/>
        <scheme val="minor"/>
      </rPr>
      <t>VOLARE</t>
    </r>
    <r>
      <rPr>
        <sz val="10"/>
        <color theme="1"/>
        <rFont val="Calibri"/>
        <family val="2"/>
        <scheme val="minor"/>
      </rPr>
      <t xml:space="preserve"> Propetz </t>
    </r>
    <r>
      <rPr>
        <b/>
        <sz val="10"/>
        <color theme="1"/>
        <rFont val="Calibri"/>
        <family val="2"/>
        <scheme val="minor"/>
      </rPr>
      <t>PRETA</t>
    </r>
    <r>
      <rPr>
        <sz val="10"/>
        <color theme="1"/>
        <rFont val="Calibri"/>
        <family val="2"/>
        <scheme val="minor"/>
      </rPr>
      <t xml:space="preserve"> Profissional, Bivolt </t>
    </r>
  </si>
  <si>
    <t>Máquina De Tosa VOLARE Propetz preta Profissional, Bivolt (LANÇAMENTO)</t>
  </si>
  <si>
    <t>PRAZO PROMO + IPI</t>
  </si>
  <si>
    <t>FOB A PRAZO COM IPI</t>
  </si>
  <si>
    <t>FOB A VISTA C/ IPI</t>
  </si>
  <si>
    <t>DIF IPI A PRAZO</t>
  </si>
  <si>
    <t>DIF IPI A VISTA</t>
  </si>
  <si>
    <r>
      <t xml:space="preserve">Tesoura </t>
    </r>
    <r>
      <rPr>
        <b/>
        <sz val="10"/>
        <color theme="1"/>
        <rFont val="Calibri"/>
        <family val="2"/>
      </rPr>
      <t>Curva 6.5</t>
    </r>
    <r>
      <rPr>
        <sz val="10"/>
        <color theme="1"/>
        <rFont val="Calibri"/>
        <family val="2"/>
      </rPr>
      <t xml:space="preserve">" Aluminio Akemi( Aço 440C) Rosa Propetz  </t>
    </r>
  </si>
  <si>
    <r>
      <t xml:space="preserve">Tesoura </t>
    </r>
    <r>
      <rPr>
        <b/>
        <sz val="10"/>
        <color theme="1"/>
        <rFont val="Calibri"/>
        <family val="2"/>
      </rPr>
      <t>Curva 6.5</t>
    </r>
    <r>
      <rPr>
        <sz val="10"/>
        <color theme="1"/>
        <rFont val="Calibri"/>
        <family val="2"/>
      </rPr>
      <t xml:space="preserve">" Aluminio Akemi (Aço 440C) Azul Propetz </t>
    </r>
  </si>
  <si>
    <t>A2PA-200</t>
  </si>
  <si>
    <t>Faca Stripping 28 Dentes Face e orelha Azul Propetz (LANÇAMENTO)</t>
  </si>
  <si>
    <t>Faca Stripping 28  Dentes Face e Orelha Azul Propetz (LANÇAMENTO)</t>
  </si>
  <si>
    <t>L3P-CF940-200</t>
  </si>
  <si>
    <t>L1R75A-200</t>
  </si>
  <si>
    <t xml:space="preserve">Lâmina de Tosa PRO7 Linha X 3F Propetz </t>
  </si>
  <si>
    <r>
      <t>Escova Mágica p/</t>
    </r>
    <r>
      <rPr>
        <b/>
        <sz val="10"/>
        <color theme="1"/>
        <rFont val="Calibri"/>
        <family val="2"/>
        <scheme val="minor"/>
      </rPr>
      <t xml:space="preserve"> Pelo Curto Média</t>
    </r>
    <r>
      <rPr>
        <sz val="10"/>
        <color theme="1"/>
        <rFont val="Calibri"/>
        <family val="2"/>
        <scheme val="minor"/>
      </rPr>
      <t xml:space="preserve"> Azul Propetz </t>
    </r>
  </si>
  <si>
    <r>
      <t>Escova Mágica p/</t>
    </r>
    <r>
      <rPr>
        <b/>
        <sz val="10"/>
        <color theme="1"/>
        <rFont val="Calibri"/>
        <family val="2"/>
        <scheme val="minor"/>
      </rPr>
      <t xml:space="preserve"> Pelo Longo Média</t>
    </r>
    <r>
      <rPr>
        <sz val="10"/>
        <color theme="1"/>
        <rFont val="Calibri"/>
        <family val="2"/>
        <scheme val="minor"/>
      </rPr>
      <t xml:space="preserve"> Azul Propetz </t>
    </r>
  </si>
  <si>
    <t>Rasqueadeira Curva media azul propetz novo</t>
  </si>
  <si>
    <t>Pente Akemi Inox penteado</t>
  </si>
  <si>
    <t>VALOR C/ IPI</t>
  </si>
  <si>
    <t xml:space="preserve"> PROMO A PRAZO</t>
  </si>
  <si>
    <t>PROMO A PRAZO</t>
  </si>
  <si>
    <r>
      <t xml:space="preserve">Máquina De Tosa </t>
    </r>
    <r>
      <rPr>
        <b/>
        <sz val="10"/>
        <color theme="1"/>
        <rFont val="Calibri"/>
        <family val="2"/>
      </rPr>
      <t>PLUMA</t>
    </r>
    <r>
      <rPr>
        <sz val="10"/>
        <color theme="1"/>
        <rFont val="Calibri"/>
        <family val="2"/>
      </rPr>
      <t xml:space="preserve"> Propetz </t>
    </r>
    <r>
      <rPr>
        <b/>
        <sz val="10"/>
        <color theme="1"/>
        <rFont val="Calibri"/>
        <family val="2"/>
      </rPr>
      <t>VERDE</t>
    </r>
    <r>
      <rPr>
        <sz val="10"/>
        <color theme="1"/>
        <rFont val="Calibri"/>
        <family val="2"/>
      </rPr>
      <t xml:space="preserve"> Profissional, Bivolt </t>
    </r>
  </si>
  <si>
    <r>
      <t xml:space="preserve">Máquina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Propetz </t>
    </r>
    <r>
      <rPr>
        <b/>
        <sz val="10"/>
        <color theme="1"/>
        <rFont val="Calibri"/>
        <family val="2"/>
      </rPr>
      <t xml:space="preserve">PRETA - </t>
    </r>
    <r>
      <rPr>
        <sz val="10"/>
        <color theme="1"/>
        <rFont val="Calibri"/>
        <family val="2"/>
      </rPr>
      <t xml:space="preserve">5 em 1, Bivolt </t>
    </r>
  </si>
  <si>
    <r>
      <t xml:space="preserve">Máquina De Tosa </t>
    </r>
    <r>
      <rPr>
        <b/>
        <sz val="10"/>
        <color theme="1"/>
        <rFont val="Calibri"/>
        <family val="2"/>
      </rPr>
      <t>PRO X</t>
    </r>
    <r>
      <rPr>
        <sz val="10"/>
        <color theme="1"/>
        <rFont val="Calibri"/>
        <family val="2"/>
      </rPr>
      <t xml:space="preserve"> Propetz </t>
    </r>
    <r>
      <rPr>
        <b/>
        <sz val="10"/>
        <color theme="1"/>
        <rFont val="Calibri"/>
        <family val="2"/>
      </rPr>
      <t>VERDE</t>
    </r>
    <r>
      <rPr>
        <sz val="10"/>
        <color theme="1"/>
        <rFont val="Calibri"/>
        <family val="2"/>
      </rPr>
      <t xml:space="preserve"> - 4 em 1, Bivolt </t>
    </r>
  </si>
  <si>
    <r>
      <t xml:space="preserve">Máquina De Tosa </t>
    </r>
    <r>
      <rPr>
        <b/>
        <sz val="10"/>
        <color theme="1"/>
        <rFont val="Calibri"/>
        <family val="2"/>
      </rPr>
      <t>PRO X mini</t>
    </r>
    <r>
      <rPr>
        <sz val="10"/>
        <color theme="1"/>
        <rFont val="Calibri"/>
        <family val="2"/>
      </rPr>
      <t xml:space="preserve"> Propetz </t>
    </r>
    <r>
      <rPr>
        <b/>
        <sz val="10"/>
        <color theme="1"/>
        <rFont val="Calibri"/>
        <family val="2"/>
      </rPr>
      <t>VERDE</t>
    </r>
    <r>
      <rPr>
        <sz val="10"/>
        <color theme="1"/>
        <rFont val="Calibri"/>
        <family val="2"/>
      </rPr>
      <t xml:space="preserve"> Acabamento, Bivolt </t>
    </r>
  </si>
  <si>
    <r>
      <t xml:space="preserve">Máquina de tosa PRO6 Propetz </t>
    </r>
    <r>
      <rPr>
        <b/>
        <sz val="10"/>
        <color theme="1"/>
        <rFont val="Calibri"/>
        <family val="2"/>
      </rPr>
      <t xml:space="preserve">PRETA </t>
    </r>
    <r>
      <rPr>
        <sz val="10"/>
        <color theme="1"/>
        <rFont val="Calibri"/>
        <family val="2"/>
      </rPr>
      <t xml:space="preserve">Profissional Acabamento, Bivolt </t>
    </r>
  </si>
  <si>
    <r>
      <t xml:space="preserve">Máquina de tosa MO3 Propetz </t>
    </r>
    <r>
      <rPr>
        <b/>
        <sz val="10"/>
        <color theme="1"/>
        <rFont val="Calibri"/>
        <family val="2"/>
      </rPr>
      <t>PINK</t>
    </r>
    <r>
      <rPr>
        <sz val="10"/>
        <color theme="1"/>
        <rFont val="Calibri"/>
        <family val="2"/>
      </rPr>
      <t xml:space="preserve"> , Lâmina de Cerâmica, Bivolt</t>
    </r>
  </si>
  <si>
    <r>
      <t xml:space="preserve">Máquina de tosa MO3 Propetz </t>
    </r>
    <r>
      <rPr>
        <b/>
        <sz val="10"/>
        <color theme="1"/>
        <rFont val="Calibri"/>
        <family val="2"/>
      </rPr>
      <t>AZUL</t>
    </r>
    <r>
      <rPr>
        <sz val="10"/>
        <color theme="1"/>
        <rFont val="Calibri"/>
        <family val="2"/>
      </rPr>
      <t xml:space="preserve">, Lâmina de Cerâmica, Bivolt  </t>
    </r>
  </si>
  <si>
    <r>
      <t xml:space="preserve">Lâmina de Tosa </t>
    </r>
    <r>
      <rPr>
        <b/>
        <sz val="10"/>
        <color theme="1"/>
        <rFont val="Calibri"/>
        <family val="2"/>
      </rPr>
      <t xml:space="preserve">PRO7 Aço Inox </t>
    </r>
    <r>
      <rPr>
        <sz val="10"/>
        <color theme="1"/>
        <rFont val="Calibri"/>
        <family val="2"/>
      </rPr>
      <t>Premium Regulável</t>
    </r>
    <r>
      <rPr>
        <b/>
        <sz val="10"/>
        <color theme="1"/>
        <rFont val="Calibri"/>
        <family val="2"/>
      </rPr>
      <t xml:space="preserve"> SLIM Nº 8 a Nº 30</t>
    </r>
    <r>
      <rPr>
        <sz val="10"/>
        <color theme="1"/>
        <rFont val="Calibri"/>
        <family val="2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</si>
  <si>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Aço Inox</t>
    </r>
    <r>
      <rPr>
        <sz val="10"/>
        <color theme="1"/>
        <rFont val="Calibri"/>
        <family val="2"/>
      </rPr>
      <t xml:space="preserve"> Premium Regulável</t>
    </r>
    <r>
      <rPr>
        <b/>
        <sz val="10"/>
        <color theme="1"/>
        <rFont val="Calibri"/>
        <family val="2"/>
      </rPr>
      <t xml:space="preserve"> ULTRA SLIM Nº 9 a Nº 40</t>
    </r>
    <r>
      <rPr>
        <sz val="10"/>
        <color theme="1"/>
        <rFont val="Calibri"/>
        <family val="2"/>
      </rPr>
      <t xml:space="preserve"> Propetz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</si>
  <si>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Linha X Regulável</t>
    </r>
    <r>
      <rPr>
        <b/>
        <sz val="10"/>
        <color theme="1"/>
        <rFont val="Calibri"/>
        <family val="2"/>
      </rPr>
      <t xml:space="preserve"> ULTRA SLIM Nº 9 a Nº 40</t>
    </r>
    <r>
      <rPr>
        <sz val="10"/>
        <color theme="1"/>
        <rFont val="Calibri"/>
        <family val="2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</si>
  <si>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Linha X</t>
    </r>
    <r>
      <rPr>
        <b/>
        <sz val="10"/>
        <color theme="1"/>
        <rFont val="Calibri"/>
        <family val="2"/>
      </rPr>
      <t xml:space="preserve"> 7F</t>
    </r>
    <r>
      <rPr>
        <sz val="10"/>
        <color theme="1"/>
        <rFont val="Calibri"/>
        <family val="2"/>
      </rPr>
      <t xml:space="preserve"> Propetz  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</si>
  <si>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Linha X</t>
    </r>
    <r>
      <rPr>
        <b/>
        <sz val="10"/>
        <color theme="1"/>
        <rFont val="Calibri"/>
        <family val="2"/>
      </rPr>
      <t xml:space="preserve"> 4F</t>
    </r>
    <r>
      <rPr>
        <sz val="10"/>
        <color theme="1"/>
        <rFont val="Calibri"/>
        <family val="2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</si>
  <si>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Linha X</t>
    </r>
    <r>
      <rPr>
        <b/>
        <sz val="10"/>
        <color theme="1"/>
        <rFont val="Calibri"/>
        <family val="2"/>
      </rPr>
      <t xml:space="preserve"> 5F</t>
    </r>
    <r>
      <rPr>
        <sz val="10"/>
        <color theme="1"/>
        <rFont val="Calibri"/>
        <family val="2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</si>
  <si>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Linha X</t>
    </r>
    <r>
      <rPr>
        <b/>
        <sz val="10"/>
        <color theme="1"/>
        <rFont val="Calibri"/>
        <family val="2"/>
      </rPr>
      <t xml:space="preserve"> 6F</t>
    </r>
    <r>
      <rPr>
        <sz val="10"/>
        <color theme="1"/>
        <rFont val="Calibri"/>
        <family val="2"/>
      </rPr>
      <t xml:space="preserve"> Propetz </t>
    </r>
  </si>
  <si>
    <r>
      <t xml:space="preserve">Lâmina de Tosa </t>
    </r>
    <r>
      <rPr>
        <b/>
        <sz val="10"/>
        <color theme="1"/>
        <rFont val="Calibri"/>
        <family val="2"/>
      </rPr>
      <t>PRO7</t>
    </r>
    <r>
      <rPr>
        <sz val="10"/>
        <color theme="1"/>
        <rFont val="Calibri"/>
        <family val="2"/>
      </rPr>
      <t xml:space="preserve"> Aço Inox Premium </t>
    </r>
    <r>
      <rPr>
        <b/>
        <sz val="10"/>
        <color theme="1"/>
        <rFont val="Calibri"/>
        <family val="2"/>
      </rPr>
      <t>45</t>
    </r>
    <r>
      <rPr>
        <sz val="10"/>
        <color theme="1"/>
        <rFont val="Calibri"/>
        <family val="2"/>
      </rPr>
      <t xml:space="preserve"> Propetz Joyzee</t>
    </r>
  </si>
  <si>
    <r>
      <t xml:space="preserve">Lâmina de Tosa Linha X Regulável </t>
    </r>
    <r>
      <rPr>
        <b/>
        <sz val="10"/>
        <color theme="1"/>
        <rFont val="Calibri"/>
        <family val="2"/>
      </rPr>
      <t>SLIM Nº 9 a Nº 30</t>
    </r>
    <r>
      <rPr>
        <sz val="10"/>
        <color theme="1"/>
        <rFont val="Calibri"/>
        <family val="2"/>
      </rPr>
      <t xml:space="preserve"> PRO6/PROX Propetz  </t>
    </r>
  </si>
  <si>
    <r>
      <t xml:space="preserve">Lâmina de Tosa LINHA X Regulável </t>
    </r>
    <r>
      <rPr>
        <b/>
        <sz val="10"/>
        <color theme="1"/>
        <rFont val="Calibri"/>
        <family val="2"/>
      </rPr>
      <t>ULTRA SLIM Nº 10 a Nº 40</t>
    </r>
    <r>
      <rPr>
        <sz val="10"/>
        <color theme="1"/>
        <rFont val="Calibri"/>
        <family val="2"/>
      </rPr>
      <t xml:space="preserve"> PRO6/PROX Propetz </t>
    </r>
  </si>
  <si>
    <r>
      <t xml:space="preserve">Lâmina de Tosa Linha X </t>
    </r>
    <r>
      <rPr>
        <b/>
        <sz val="10"/>
        <color theme="1"/>
        <rFont val="Calibri"/>
        <family val="2"/>
      </rPr>
      <t xml:space="preserve">7F </t>
    </r>
    <r>
      <rPr>
        <sz val="10"/>
        <color theme="1"/>
        <rFont val="Calibri"/>
        <family val="2"/>
      </rPr>
      <t xml:space="preserve">PRO6/PROX Propetz </t>
    </r>
  </si>
  <si>
    <r>
      <t xml:space="preserve">Lâmina de Tosa Linha X </t>
    </r>
    <r>
      <rPr>
        <b/>
        <sz val="10"/>
        <color theme="1"/>
        <rFont val="Calibri"/>
        <family val="2"/>
      </rPr>
      <t xml:space="preserve">4F </t>
    </r>
    <r>
      <rPr>
        <sz val="10"/>
        <color theme="1"/>
        <rFont val="Calibri"/>
        <family val="2"/>
      </rPr>
      <t xml:space="preserve">PRO6/PROX Propetz </t>
    </r>
  </si>
  <si>
    <r>
      <t xml:space="preserve">Lâmina de Tosa Linha X </t>
    </r>
    <r>
      <rPr>
        <b/>
        <sz val="10"/>
        <color theme="1"/>
        <rFont val="Calibri"/>
        <family val="2"/>
      </rPr>
      <t xml:space="preserve">3F </t>
    </r>
    <r>
      <rPr>
        <sz val="10"/>
        <color theme="1"/>
        <rFont val="Calibri"/>
        <family val="2"/>
      </rPr>
      <t xml:space="preserve">PRO6-PROX Propetz </t>
    </r>
  </si>
  <si>
    <r>
      <t xml:space="preserve">Lamina de Tosa Linha X </t>
    </r>
    <r>
      <rPr>
        <b/>
        <sz val="10"/>
        <color rgb="FF000000"/>
        <rFont val="Calibri"/>
        <family val="2"/>
      </rPr>
      <t>30</t>
    </r>
    <r>
      <rPr>
        <sz val="10"/>
        <color rgb="FF000000"/>
        <rFont val="Calibri"/>
        <family val="2"/>
      </rPr>
      <t xml:space="preserve"> Propetz EXCLUSIVA PRO6 </t>
    </r>
  </si>
  <si>
    <r>
      <t xml:space="preserve">Lamina de Tosa </t>
    </r>
    <r>
      <rPr>
        <b/>
        <sz val="10"/>
        <color rgb="FF000000"/>
        <rFont val="Calibri"/>
        <family val="2"/>
      </rPr>
      <t>Aço Inox</t>
    </r>
    <r>
      <rPr>
        <sz val="10"/>
        <color rgb="FF000000"/>
        <rFont val="Calibri"/>
        <family val="2"/>
      </rPr>
      <t xml:space="preserve"> Premium </t>
    </r>
    <r>
      <rPr>
        <b/>
        <sz val="10"/>
        <color rgb="FF000000"/>
        <rFont val="Calibri"/>
        <family val="2"/>
      </rPr>
      <t>30</t>
    </r>
    <r>
      <rPr>
        <sz val="10"/>
        <color rgb="FF000000"/>
        <rFont val="Calibri"/>
        <family val="2"/>
      </rPr>
      <t xml:space="preserve"> Propetz EXCLUSIVA PRO6 </t>
    </r>
  </si>
  <si>
    <r>
      <t>Lâmina de Tosa</t>
    </r>
    <r>
      <rPr>
        <b/>
        <sz val="10"/>
        <color theme="1"/>
        <rFont val="Calibri"/>
        <family val="2"/>
      </rPr>
      <t xml:space="preserve"> PRO X mini</t>
    </r>
    <r>
      <rPr>
        <sz val="10"/>
        <color theme="1"/>
        <rFont val="Calibri"/>
        <family val="2"/>
      </rPr>
      <t xml:space="preserve"> Propetz de Nº0.25mm  </t>
    </r>
  </si>
  <si>
    <r>
      <t xml:space="preserve">Lâmina de Tosa </t>
    </r>
    <r>
      <rPr>
        <b/>
        <sz val="10"/>
        <color theme="1"/>
        <rFont val="Calibri"/>
        <family val="2"/>
      </rPr>
      <t>PRO4</t>
    </r>
    <r>
      <rPr>
        <sz val="10"/>
        <color theme="1"/>
        <rFont val="Calibri"/>
        <family val="2"/>
      </rPr>
      <t xml:space="preserve"> Propetz, N°0,25mm </t>
    </r>
  </si>
  <si>
    <r>
      <t>Lâmina de Tosa</t>
    </r>
    <r>
      <rPr>
        <b/>
        <sz val="10"/>
        <color theme="1"/>
        <rFont val="Calibri"/>
        <family val="2"/>
      </rPr>
      <t xml:space="preserve"> MO3</t>
    </r>
    <r>
      <rPr>
        <sz val="10"/>
        <color theme="1"/>
        <rFont val="Calibri"/>
        <family val="2"/>
      </rPr>
      <t xml:space="preserve"> Propetz de Nº1.0mm </t>
    </r>
  </si>
  <si>
    <r>
      <t xml:space="preserve">Cortante I de Cerâmica Lâminas Propetz - </t>
    </r>
    <r>
      <rPr>
        <b/>
        <sz val="10"/>
        <color theme="1"/>
        <rFont val="Calibri"/>
        <family val="2"/>
      </rPr>
      <t>Para lâminas n.40 e n.50</t>
    </r>
  </si>
  <si>
    <r>
      <t xml:space="preserve">Cortante II de Cerâmica Lâminas Propetz - </t>
    </r>
    <r>
      <rPr>
        <b/>
        <sz val="10"/>
        <color theme="1"/>
        <rFont val="Calibri"/>
        <family val="2"/>
      </rPr>
      <t>Para lâminas n.10,15,30,3F,4F,5F e 7F</t>
    </r>
    <r>
      <rPr>
        <sz val="10"/>
        <color theme="1"/>
        <rFont val="Calibri"/>
        <family val="2"/>
      </rPr>
      <t xml:space="preserve">  </t>
    </r>
  </si>
  <si>
    <r>
      <t xml:space="preserve">Lâmina De Tosa </t>
    </r>
    <r>
      <rPr>
        <b/>
        <sz val="10"/>
        <color rgb="FF1D1C1D"/>
        <rFont val="Calibri"/>
        <family val="2"/>
      </rPr>
      <t xml:space="preserve">10 </t>
    </r>
    <r>
      <rPr>
        <sz val="10"/>
        <color rgb="FF1D1C1D"/>
        <rFont val="Calibri"/>
        <family val="2"/>
      </rPr>
      <t xml:space="preserve">Titanium Super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</si>
  <si>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 xml:space="preserve">30 </t>
    </r>
    <r>
      <rPr>
        <sz val="10"/>
        <color rgb="FF1D1C1D"/>
        <rFont val="Calibri"/>
        <family val="2"/>
      </rPr>
      <t xml:space="preserve">Titanium Super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</si>
  <si>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40</t>
    </r>
    <r>
      <rPr>
        <sz val="10"/>
        <color rgb="FF1D1C1D"/>
        <rFont val="Calibri"/>
        <family val="2"/>
      </rPr>
      <t xml:space="preserve"> Titanium Super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</si>
  <si>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4F</t>
    </r>
    <r>
      <rPr>
        <sz val="10"/>
        <color rgb="FF1D1C1D"/>
        <rFont val="Calibri"/>
        <family val="2"/>
      </rPr>
      <t xml:space="preserve"> Titanium Super Premium  Propetz </t>
    </r>
  </si>
  <si>
    <r>
      <t xml:space="preserve">Lâmina De Tosa </t>
    </r>
    <r>
      <rPr>
        <b/>
        <sz val="10"/>
        <color rgb="FF1D1C1D"/>
        <rFont val="Calibri"/>
        <family val="2"/>
      </rPr>
      <t>9</t>
    </r>
    <r>
      <rPr>
        <sz val="10"/>
        <color rgb="FF1D1C1D"/>
        <rFont val="Calibri"/>
        <family val="2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</si>
  <si>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10</t>
    </r>
    <r>
      <rPr>
        <sz val="10"/>
        <color rgb="FF1D1C1D"/>
        <rFont val="Calibri"/>
        <family val="2"/>
      </rPr>
      <t xml:space="preserve"> Aço Inox Premium Propetz  </t>
    </r>
  </si>
  <si>
    <r>
      <t xml:space="preserve">Lâmina De Tosa </t>
    </r>
    <r>
      <rPr>
        <b/>
        <sz val="10"/>
        <color rgb="FF1D1C1D"/>
        <rFont val="Calibri"/>
        <family val="2"/>
      </rPr>
      <t>30</t>
    </r>
    <r>
      <rPr>
        <sz val="10"/>
        <color rgb="FF1D1C1D"/>
        <rFont val="Calibri"/>
        <family val="2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</si>
  <si>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40</t>
    </r>
    <r>
      <rPr>
        <sz val="10"/>
        <color rgb="FF1D1C1D"/>
        <rFont val="Calibri"/>
        <family val="2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</si>
  <si>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50</t>
    </r>
    <r>
      <rPr>
        <sz val="10"/>
        <color rgb="FF1D1C1D"/>
        <rFont val="Calibri"/>
        <family val="2"/>
      </rPr>
      <t xml:space="preserve"> Aço Inox Premium Propetz  </t>
    </r>
  </si>
  <si>
    <r>
      <t xml:space="preserve">Lâmina De Tosa </t>
    </r>
    <r>
      <rPr>
        <b/>
        <sz val="10"/>
        <color rgb="FF1D1C1D"/>
        <rFont val="Calibri"/>
        <family val="2"/>
      </rPr>
      <t>4F</t>
    </r>
    <r>
      <rPr>
        <sz val="10"/>
        <color rgb="FF1D1C1D"/>
        <rFont val="Calibri"/>
        <family val="2"/>
      </rPr>
      <t xml:space="preserve"> Aço Inox Premium Propetz  </t>
    </r>
  </si>
  <si>
    <r>
      <t xml:space="preserve">Lâmina De Tosa </t>
    </r>
    <r>
      <rPr>
        <b/>
        <sz val="10"/>
        <color rgb="FF1D1C1D"/>
        <rFont val="Calibri"/>
        <family val="2"/>
      </rPr>
      <t>5F</t>
    </r>
    <r>
      <rPr>
        <sz val="10"/>
        <color rgb="FF1D1C1D"/>
        <rFont val="Calibri"/>
        <family val="2"/>
      </rPr>
      <t xml:space="preserve"> Aço Inox Premium Propetz </t>
    </r>
  </si>
  <si>
    <r>
      <t xml:space="preserve">Lâmina De Tosa </t>
    </r>
    <r>
      <rPr>
        <b/>
        <sz val="10"/>
        <color rgb="FF1D1C1D"/>
        <rFont val="Calibri"/>
        <family val="2"/>
      </rPr>
      <t>7F</t>
    </r>
    <r>
      <rPr>
        <sz val="10"/>
        <color rgb="FF1D1C1D"/>
        <rFont val="Calibri"/>
        <family val="2"/>
      </rPr>
      <t xml:space="preserve"> Aço Inox Premium Propetz   </t>
    </r>
  </si>
  <si>
    <r>
      <t>Kit de Adaptadores de Inox Propetz</t>
    </r>
    <r>
      <rPr>
        <i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 xml:space="preserve">Máquinas 5 em 1 / 4 em 1 - 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All in One</t>
    </r>
  </si>
  <si>
    <r>
      <t xml:space="preserve">Escova </t>
    </r>
    <r>
      <rPr>
        <b/>
        <sz val="10"/>
        <color theme="1"/>
        <rFont val="Calibri"/>
        <family val="2"/>
      </rPr>
      <t>Premium</t>
    </r>
    <r>
      <rPr>
        <sz val="10"/>
        <color theme="1"/>
        <rFont val="Calibri"/>
        <family val="2"/>
      </rPr>
      <t xml:space="preserve"> Pinos s/ Bolinha Média Black Propetz </t>
    </r>
  </si>
  <si>
    <r>
      <t xml:space="preserve">Escova </t>
    </r>
    <r>
      <rPr>
        <b/>
        <sz val="10"/>
        <color theme="1"/>
        <rFont val="Calibri"/>
        <family val="2"/>
      </rPr>
      <t>Premium</t>
    </r>
    <r>
      <rPr>
        <sz val="10"/>
        <color theme="1"/>
        <rFont val="Calibri"/>
        <family val="2"/>
      </rPr>
      <t xml:space="preserve"> Pinos s/ Bolinha Grande Black Propetz </t>
    </r>
  </si>
  <si>
    <r>
      <t>Rasqueadeira</t>
    </r>
    <r>
      <rPr>
        <b/>
        <sz val="10"/>
        <color theme="1"/>
        <rFont val="Calibri"/>
        <family val="2"/>
      </rPr>
      <t xml:space="preserve"> Premium </t>
    </r>
    <r>
      <rPr>
        <sz val="10"/>
        <color theme="1"/>
        <rFont val="Calibri"/>
        <family val="2"/>
      </rPr>
      <t xml:space="preserve">Reta Grande Pinos Firmes Black Propetz </t>
    </r>
  </si>
  <si>
    <r>
      <t xml:space="preserve">Rasqueadeira </t>
    </r>
    <r>
      <rPr>
        <b/>
        <sz val="10"/>
        <color theme="1"/>
        <rFont val="Calibri"/>
        <family val="2"/>
      </rPr>
      <t>Premium</t>
    </r>
    <r>
      <rPr>
        <sz val="10"/>
        <color theme="1"/>
        <rFont val="Calibri"/>
        <family val="2"/>
      </rPr>
      <t xml:space="preserve"> Reta Grande Pinos Macio Black Propetz </t>
    </r>
  </si>
  <si>
    <r>
      <t xml:space="preserve">Rasqueadeira </t>
    </r>
    <r>
      <rPr>
        <b/>
        <sz val="10"/>
        <color theme="1"/>
        <rFont val="Calibri"/>
        <family val="2"/>
      </rPr>
      <t>Premium</t>
    </r>
    <r>
      <rPr>
        <sz val="10"/>
        <color theme="1"/>
        <rFont val="Calibri"/>
        <family val="2"/>
      </rPr>
      <t xml:space="preserve"> Curva Media Pinos Longos Firmes Black Propetz </t>
    </r>
  </si>
  <si>
    <r>
      <t>Rasqueadeira</t>
    </r>
    <r>
      <rPr>
        <b/>
        <sz val="10"/>
        <color theme="1"/>
        <rFont val="Calibri"/>
        <family val="2"/>
      </rPr>
      <t xml:space="preserve"> Premium</t>
    </r>
    <r>
      <rPr>
        <sz val="10"/>
        <color theme="1"/>
        <rFont val="Calibri"/>
        <family val="2"/>
      </rPr>
      <t xml:space="preserve"> Curva Media Pinos Longos Regulares Black Propetz </t>
    </r>
  </si>
  <si>
    <r>
      <t xml:space="preserve">Pente </t>
    </r>
    <r>
      <rPr>
        <b/>
        <sz val="10"/>
        <color theme="1"/>
        <rFont val="Calibri"/>
        <family val="2"/>
      </rPr>
      <t>Penteado</t>
    </r>
    <r>
      <rPr>
        <sz val="10"/>
        <color theme="1"/>
        <rFont val="Calibri"/>
        <family val="2"/>
      </rPr>
      <t xml:space="preserve"> de Metal c/ Cabo Azul Propetz</t>
    </r>
  </si>
  <si>
    <r>
      <t xml:space="preserve">Pente p/ </t>
    </r>
    <r>
      <rPr>
        <b/>
        <sz val="10"/>
        <color theme="1"/>
        <rFont val="Calibri"/>
        <family val="2"/>
      </rPr>
      <t>Topete</t>
    </r>
    <r>
      <rPr>
        <sz val="10"/>
        <color theme="1"/>
        <rFont val="Calibri"/>
        <family val="2"/>
      </rPr>
      <t xml:space="preserve"> Azul Propetz </t>
    </r>
  </si>
  <si>
    <r>
      <t xml:space="preserve">Pente 19cm </t>
    </r>
    <r>
      <rPr>
        <b/>
        <sz val="10"/>
        <color theme="1"/>
        <rFont val="Calibri"/>
        <family val="2"/>
      </rPr>
      <t>Akemi</t>
    </r>
    <r>
      <rPr>
        <sz val="10"/>
        <color theme="1"/>
        <rFont val="Calibri"/>
        <family val="2"/>
      </rPr>
      <t xml:space="preserve"> Aluminio Propetz </t>
    </r>
  </si>
  <si>
    <r>
      <t xml:space="preserve">Pente 19cm </t>
    </r>
    <r>
      <rPr>
        <b/>
        <sz val="10"/>
        <color theme="1"/>
        <rFont val="Calibri"/>
        <family val="2"/>
      </rPr>
      <t>Akemi</t>
    </r>
    <r>
      <rPr>
        <sz val="10"/>
        <color theme="1"/>
        <rFont val="Calibri"/>
        <family val="2"/>
      </rPr>
      <t xml:space="preserve"> Aço Inox Propetz </t>
    </r>
  </si>
  <si>
    <r>
      <t>Pente 23cm</t>
    </r>
    <r>
      <rPr>
        <b/>
        <sz val="10"/>
        <color theme="1"/>
        <rFont val="Calibri"/>
        <family val="2"/>
      </rPr>
      <t xml:space="preserve"> Akemi</t>
    </r>
    <r>
      <rPr>
        <sz val="10"/>
        <color theme="1"/>
        <rFont val="Calibri"/>
        <family val="2"/>
      </rPr>
      <t xml:space="preserve"> Aluminio Propetz</t>
    </r>
  </si>
  <si>
    <r>
      <t xml:space="preserve">Pente 23cm </t>
    </r>
    <r>
      <rPr>
        <b/>
        <sz val="10"/>
        <color theme="1"/>
        <rFont val="Calibri"/>
        <family val="2"/>
      </rPr>
      <t>Akemi</t>
    </r>
    <r>
      <rPr>
        <sz val="10"/>
        <color theme="1"/>
        <rFont val="Calibri"/>
        <family val="2"/>
      </rPr>
      <t xml:space="preserve"> Aço Inox Propetz</t>
    </r>
  </si>
  <si>
    <r>
      <t xml:space="preserve">Tesoura </t>
    </r>
    <r>
      <rPr>
        <b/>
        <sz val="10"/>
        <color rgb="FF000000"/>
        <rFont val="Calibri"/>
        <family val="2"/>
      </rPr>
      <t>Curva 7</t>
    </r>
    <r>
      <rPr>
        <sz val="10"/>
        <color rgb="FF000000"/>
        <rFont val="Calibri"/>
        <family val="2"/>
      </rPr>
      <t>" Aluminio Akemi(Aço 440C) Azul Propetz</t>
    </r>
  </si>
  <si>
    <r>
      <t xml:space="preserve">Tesoura </t>
    </r>
    <r>
      <rPr>
        <b/>
        <sz val="10"/>
        <color rgb="FF000000"/>
        <rFont val="Calibri"/>
        <family val="2"/>
      </rPr>
      <t>Curva 7</t>
    </r>
    <r>
      <rPr>
        <sz val="10"/>
        <color rgb="FF000000"/>
        <rFont val="Calibri"/>
        <family val="2"/>
      </rPr>
      <t xml:space="preserve">" Aluminio Akemi(Aço 440C) Rosa Propetz </t>
    </r>
  </si>
  <si>
    <r>
      <t xml:space="preserve">TESOURA </t>
    </r>
    <r>
      <rPr>
        <b/>
        <sz val="10"/>
        <rFont val="Calibri"/>
        <family val="2"/>
      </rPr>
      <t xml:space="preserve"> CURVA 440C 7.5</t>
    </r>
    <r>
      <rPr>
        <sz val="10"/>
        <rFont val="Calibri"/>
        <family val="2"/>
      </rPr>
      <t xml:space="preserve">” SUPER PREMIUM – PROPETZ </t>
    </r>
  </si>
  <si>
    <r>
      <t xml:space="preserve">TESOURA </t>
    </r>
    <r>
      <rPr>
        <b/>
        <sz val="10"/>
        <rFont val="Calibri"/>
        <family val="2"/>
      </rPr>
      <t>SUPER CURVA 440C 7.5”</t>
    </r>
    <r>
      <rPr>
        <sz val="10"/>
        <rFont val="Calibri"/>
        <family val="2"/>
      </rPr>
      <t xml:space="preserve"> SUPER PREMIUM – PROPETZ </t>
    </r>
  </si>
  <si>
    <r>
      <t xml:space="preserve">TESOURA </t>
    </r>
    <r>
      <rPr>
        <b/>
        <sz val="10"/>
        <rFont val="Calibri"/>
        <family val="2"/>
      </rPr>
      <t>RETA 440C 7.5</t>
    </r>
    <r>
      <rPr>
        <sz val="10"/>
        <rFont val="Calibri"/>
        <family val="2"/>
      </rPr>
      <t xml:space="preserve">” SUPER PREMIUM – PROPETZ </t>
    </r>
  </si>
  <si>
    <r>
      <t xml:space="preserve">TESOURA </t>
    </r>
    <r>
      <rPr>
        <b/>
        <sz val="10"/>
        <color indexed="8"/>
        <rFont val="Calibri"/>
        <family val="2"/>
      </rPr>
      <t>TUBARÃO 440C 7.5</t>
    </r>
    <r>
      <rPr>
        <sz val="10"/>
        <color indexed="8"/>
        <rFont val="Calibri"/>
        <family val="2"/>
      </rPr>
      <t xml:space="preserve">” SUPER PREMIUM – PROPETZ </t>
    </r>
  </si>
  <si>
    <r>
      <t xml:space="preserve">TESOURA </t>
    </r>
    <r>
      <rPr>
        <b/>
        <sz val="10"/>
        <color indexed="8"/>
        <rFont val="Calibri"/>
        <family val="2"/>
      </rPr>
      <t>TUBARÃO CURVA 440C 7.5</t>
    </r>
    <r>
      <rPr>
        <sz val="10"/>
        <color indexed="8"/>
        <rFont val="Calibri"/>
        <family val="2"/>
      </rPr>
      <t xml:space="preserve">” SUPER PREMIUM – PROPETZ </t>
    </r>
  </si>
  <si>
    <r>
      <t xml:space="preserve">TESOURA </t>
    </r>
    <r>
      <rPr>
        <b/>
        <sz val="10"/>
        <color indexed="8"/>
        <rFont val="Calibri"/>
        <family val="2"/>
      </rPr>
      <t>TUBARÃO ULTRA 440C 7.5”</t>
    </r>
    <r>
      <rPr>
        <sz val="10"/>
        <color indexed="8"/>
        <rFont val="Calibri"/>
        <family val="2"/>
      </rPr>
      <t xml:space="preserve"> SUPER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</si>
  <si>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440C 7.5”</t>
    </r>
    <r>
      <rPr>
        <sz val="10"/>
        <color indexed="8"/>
        <rFont val="Calibri"/>
        <family val="2"/>
      </rPr>
      <t xml:space="preserve"> SUPER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</si>
  <si>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ULTRA 440C 7.5”</t>
    </r>
    <r>
      <rPr>
        <sz val="10"/>
        <color indexed="8"/>
        <rFont val="Calibri"/>
        <family val="2"/>
      </rPr>
      <t xml:space="preserve"> SUPER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</si>
  <si>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CURVA 440C 7.5</t>
    </r>
    <r>
      <rPr>
        <sz val="10"/>
        <color indexed="8"/>
        <rFont val="Calibri"/>
        <family val="2"/>
      </rPr>
      <t xml:space="preserve">” SUPER PREMIUM </t>
    </r>
  </si>
  <si>
    <r>
      <t>TESOURA</t>
    </r>
    <r>
      <rPr>
        <b/>
        <sz val="10"/>
        <rFont val="Calibri"/>
        <family val="2"/>
      </rPr>
      <t xml:space="preserve"> CURVA CHROME 440C 7</t>
    </r>
    <r>
      <rPr>
        <sz val="10"/>
        <rFont val="Calibri"/>
        <family val="2"/>
      </rPr>
      <t>” PREMIUM – PROPETZ</t>
    </r>
  </si>
  <si>
    <r>
      <t xml:space="preserve">TESOURA </t>
    </r>
    <r>
      <rPr>
        <b/>
        <sz val="10"/>
        <rFont val="Calibri"/>
        <family val="2"/>
      </rPr>
      <t>CURVA CHROME 440C 7.5”</t>
    </r>
    <r>
      <rPr>
        <sz val="10"/>
        <rFont val="Calibri"/>
        <family val="2"/>
      </rPr>
      <t xml:space="preserve"> PREMIUM – PROPETZ </t>
    </r>
  </si>
  <si>
    <r>
      <t xml:space="preserve">TESOURA </t>
    </r>
    <r>
      <rPr>
        <b/>
        <sz val="10"/>
        <rFont val="Calibri"/>
        <family val="2"/>
      </rPr>
      <t>CURVA CHROME 440C 8”</t>
    </r>
    <r>
      <rPr>
        <sz val="10"/>
        <rFont val="Calibri"/>
        <family val="2"/>
      </rPr>
      <t xml:space="preserve"> PREMIUM – PROPETZ  </t>
    </r>
  </si>
  <si>
    <r>
      <t>TESOURA</t>
    </r>
    <r>
      <rPr>
        <b/>
        <sz val="10"/>
        <rFont val="Calibri"/>
        <family val="2"/>
      </rPr>
      <t xml:space="preserve"> CURVA CHROME 440C 8.5</t>
    </r>
    <r>
      <rPr>
        <sz val="10"/>
        <rFont val="Calibri"/>
        <family val="2"/>
      </rPr>
      <t>” PREMIUM – PROPETZ</t>
    </r>
  </si>
  <si>
    <r>
      <t xml:space="preserve">TESOURA </t>
    </r>
    <r>
      <rPr>
        <b/>
        <sz val="10"/>
        <rFont val="Calibri"/>
        <family val="2"/>
      </rPr>
      <t>RETA CHROME 440C 7”</t>
    </r>
    <r>
      <rPr>
        <sz val="10"/>
        <rFont val="Calibri"/>
        <family val="2"/>
      </rPr>
      <t xml:space="preserve"> PREMIUM – PROPETZ </t>
    </r>
  </si>
  <si>
    <r>
      <t xml:space="preserve">TESOURA </t>
    </r>
    <r>
      <rPr>
        <b/>
        <sz val="10"/>
        <rFont val="Calibri"/>
        <family val="2"/>
      </rPr>
      <t>RETA CHROME 440C 7.5</t>
    </r>
    <r>
      <rPr>
        <sz val="10"/>
        <rFont val="Calibri"/>
        <family val="2"/>
      </rPr>
      <t xml:space="preserve">” PREMIUM – PROPETZ  </t>
    </r>
  </si>
  <si>
    <r>
      <t xml:space="preserve">TESOURA </t>
    </r>
    <r>
      <rPr>
        <b/>
        <sz val="10"/>
        <rFont val="Calibri"/>
        <family val="2"/>
      </rPr>
      <t>RETA CHROME 440C 8</t>
    </r>
    <r>
      <rPr>
        <sz val="10"/>
        <rFont val="Calibri"/>
        <family val="2"/>
      </rPr>
      <t xml:space="preserve">” PREMIUM – PROPETZ </t>
    </r>
  </si>
  <si>
    <r>
      <t xml:space="preserve">TESOURA </t>
    </r>
    <r>
      <rPr>
        <b/>
        <sz val="10"/>
        <rFont val="Calibri"/>
        <family val="2"/>
      </rPr>
      <t>RETA CHROME 440C 8.5</t>
    </r>
    <r>
      <rPr>
        <sz val="10"/>
        <rFont val="Calibri"/>
        <family val="2"/>
      </rPr>
      <t xml:space="preserve">” PREMIUM – PROPETZ </t>
    </r>
  </si>
  <si>
    <r>
      <t xml:space="preserve">TESOURA  </t>
    </r>
    <r>
      <rPr>
        <b/>
        <sz val="10"/>
        <color indexed="8"/>
        <rFont val="Calibri"/>
        <family val="2"/>
      </rPr>
      <t>TUBARÃO CHROME 440C 7</t>
    </r>
    <r>
      <rPr>
        <sz val="10"/>
        <color indexed="8"/>
        <rFont val="Calibri"/>
        <family val="2"/>
      </rPr>
      <t xml:space="preserve">” PREMIUM – PROPETZ </t>
    </r>
  </si>
  <si>
    <r>
      <t xml:space="preserve">TESOURA </t>
    </r>
    <r>
      <rPr>
        <b/>
        <sz val="10"/>
        <color indexed="8"/>
        <rFont val="Calibri"/>
        <family val="2"/>
      </rPr>
      <t>TUBARÃO CHROME 440C 7.5</t>
    </r>
    <r>
      <rPr>
        <sz val="10"/>
        <color indexed="8"/>
        <rFont val="Calibri"/>
        <family val="2"/>
      </rPr>
      <t xml:space="preserve">” PREMIUM – PROPETZ  </t>
    </r>
  </si>
  <si>
    <r>
      <t xml:space="preserve">TESOURA </t>
    </r>
    <r>
      <rPr>
        <b/>
        <sz val="10"/>
        <color indexed="8"/>
        <rFont val="Calibri"/>
        <family val="2"/>
      </rPr>
      <t>TUBARÃO CURVA CHROME 440C 7</t>
    </r>
    <r>
      <rPr>
        <sz val="10"/>
        <color indexed="8"/>
        <rFont val="Calibri"/>
        <family val="2"/>
      </rPr>
      <t xml:space="preserve">” PREMIUM – PROPETZ </t>
    </r>
  </si>
  <si>
    <r>
      <t xml:space="preserve">TESOURA </t>
    </r>
    <r>
      <rPr>
        <b/>
        <sz val="10"/>
        <color indexed="8"/>
        <rFont val="Calibri"/>
        <family val="2"/>
      </rPr>
      <t>TUBARÃO CURVA CHROME 440C 7.5</t>
    </r>
    <r>
      <rPr>
        <sz val="10"/>
        <color indexed="8"/>
        <rFont val="Calibri"/>
        <family val="2"/>
      </rPr>
      <t>” PREMIUM – PROPETZ</t>
    </r>
  </si>
  <si>
    <r>
      <t xml:space="preserve">TESOURA </t>
    </r>
    <r>
      <rPr>
        <b/>
        <sz val="10"/>
        <color indexed="8"/>
        <rFont val="Calibri"/>
        <family val="2"/>
      </rPr>
      <t>TUBARÃO ULTRA CHROME 440C 7.5</t>
    </r>
    <r>
      <rPr>
        <sz val="10"/>
        <color indexed="8"/>
        <rFont val="Calibri"/>
        <family val="2"/>
      </rPr>
      <t xml:space="preserve">”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</si>
  <si>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CHROME 440C 7”</t>
    </r>
    <r>
      <rPr>
        <sz val="10"/>
        <color indexed="8"/>
        <rFont val="Calibri"/>
        <family val="2"/>
      </rPr>
      <t xml:space="preserve">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</si>
  <si>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CHROME 440C 7.5</t>
    </r>
    <r>
      <rPr>
        <sz val="10"/>
        <color indexed="8"/>
        <rFont val="Calibri"/>
        <family val="2"/>
      </rPr>
      <t xml:space="preserve">”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</si>
  <si>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CURVA CHROME 440C 7</t>
    </r>
    <r>
      <rPr>
        <sz val="10"/>
        <color indexed="8"/>
        <rFont val="Calibri"/>
        <family val="2"/>
      </rPr>
      <t xml:space="preserve">” PREMIUM – PROPETZ </t>
    </r>
  </si>
  <si>
    <r>
      <t xml:space="preserve">TESOURA </t>
    </r>
    <r>
      <rPr>
        <b/>
        <sz val="10"/>
        <color indexed="8"/>
        <rFont val="Calibri"/>
        <family val="2"/>
      </rPr>
      <t>SEMI-DENTADA CURVA CHROME 440C 7.5</t>
    </r>
    <r>
      <rPr>
        <sz val="10"/>
        <color indexed="8"/>
        <rFont val="Calibri"/>
        <family val="2"/>
      </rPr>
      <t xml:space="preserve">” PREMIUM – PROPETZ </t>
    </r>
  </si>
  <si>
    <r>
      <t xml:space="preserve">TESOURA CANHOTO </t>
    </r>
    <r>
      <rPr>
        <b/>
        <sz val="10"/>
        <color rgb="FF000000"/>
        <rFont val="Calibri"/>
        <family val="2"/>
      </rPr>
      <t xml:space="preserve">TUBARÃO (GRAN PIANO) </t>
    </r>
    <r>
      <rPr>
        <b/>
        <sz val="10"/>
        <color indexed="8"/>
        <rFont val="Calibri"/>
        <family val="2"/>
      </rPr>
      <t>CHROME 440C 7”</t>
    </r>
    <r>
      <rPr>
        <sz val="10"/>
        <color indexed="8"/>
        <rFont val="Calibri"/>
        <family val="2"/>
      </rPr>
      <t xml:space="preserve"> PREMIUM – PROPETZ  </t>
    </r>
  </si>
  <si>
    <r>
      <t xml:space="preserve">TESOURA CANHOTO </t>
    </r>
    <r>
      <rPr>
        <b/>
        <sz val="10"/>
        <color rgb="FF000000"/>
        <rFont val="Calibri"/>
        <family val="2"/>
      </rPr>
      <t>CURVA</t>
    </r>
    <r>
      <rPr>
        <b/>
        <sz val="10"/>
        <color indexed="8"/>
        <rFont val="Calibri"/>
        <family val="2"/>
      </rPr>
      <t xml:space="preserve"> CHROME 440C 7.5</t>
    </r>
    <r>
      <rPr>
        <sz val="10"/>
        <color indexed="8"/>
        <rFont val="Calibri"/>
        <family val="2"/>
      </rPr>
      <t xml:space="preserve">” PREMIUM – PROPETZ  </t>
    </r>
  </si>
  <si>
    <r>
      <t xml:space="preserve">Estojo para </t>
    </r>
    <r>
      <rPr>
        <b/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Tesouras - X  Propetz</t>
    </r>
  </si>
  <si>
    <t>q</t>
  </si>
  <si>
    <t>y</t>
  </si>
  <si>
    <r>
      <t xml:space="preserve">Máquina de tosa MO4 Propetz </t>
    </r>
    <r>
      <rPr>
        <b/>
        <sz val="10"/>
        <color theme="1"/>
        <rFont val="Calibri"/>
        <family val="2"/>
        <scheme val="minor"/>
      </rPr>
      <t>AZUL</t>
    </r>
    <r>
      <rPr>
        <sz val="10"/>
        <color theme="1"/>
        <rFont val="Calibri"/>
        <family val="2"/>
        <scheme val="minor"/>
      </rPr>
      <t xml:space="preserve">, Lâmina de Cerâmica, Bivolt </t>
    </r>
  </si>
  <si>
    <t>MP6-4CAP-100</t>
  </si>
  <si>
    <t>C3L51P-100</t>
  </si>
  <si>
    <t>Dedeiras Propetz</t>
  </si>
  <si>
    <t>Dedeira para Tesoura Aberta, Azul, Propetz</t>
  </si>
  <si>
    <t>Dedeira para Tesoura Fechada, Azul, Propetz</t>
  </si>
  <si>
    <t>ASP-AZP-100</t>
  </si>
  <si>
    <t>ASP-AZPF-100</t>
  </si>
  <si>
    <t>Dedeira para Tesoura de Tosa Aberta, Azul, Propetz</t>
  </si>
  <si>
    <t>Dedeira para Tesoura de Tosa Fechada, Azul, Propetz</t>
  </si>
  <si>
    <t>Suporte de Mesa</t>
  </si>
  <si>
    <t>SMP-XA1-100</t>
  </si>
  <si>
    <t>Suporte de Mesa Pequeno Azul Propetz</t>
  </si>
  <si>
    <t>Suporte de Mesa Pequeno Propetz Azul</t>
  </si>
  <si>
    <t>Cortante de Cerâmica para Lâminas PRO7 Propetz</t>
  </si>
  <si>
    <t>VER 2/2026</t>
  </si>
  <si>
    <t>Suporte de Mesa Pequeno Propetz Azul LANÇAMENTO</t>
  </si>
  <si>
    <t>PRODUTO+IPI</t>
  </si>
  <si>
    <t>Dedeira e Suporte de mesa</t>
  </si>
  <si>
    <t>A1GA-200</t>
  </si>
  <si>
    <t>Dedeira para Tesoura de Tosa Aberta, Azul, Propetz (Par) (ESGOTADO)</t>
  </si>
  <si>
    <t>Dedeira para Tesoura de Tosa Fechada, Azul, Propetz (Par) (ESGOTADO)</t>
  </si>
  <si>
    <t>MP5-610X-100</t>
  </si>
  <si>
    <t>Máquina de tosa Pro7 X  Propetz preta - 5 em 1, bivolt</t>
  </si>
  <si>
    <r>
      <t xml:space="preserve">Máquina de tosa Pluma </t>
    </r>
    <r>
      <rPr>
        <b/>
        <sz val="10"/>
        <color theme="1"/>
        <rFont val="Calibri"/>
        <family val="2"/>
      </rPr>
      <t>EVOLUTION</t>
    </r>
    <r>
      <rPr>
        <sz val="10"/>
        <color theme="1"/>
        <rFont val="Calibri"/>
        <family val="2"/>
      </rPr>
      <t xml:space="preserve"> Propetz verde profissional, bivolt</t>
    </r>
  </si>
  <si>
    <r>
      <t xml:space="preserve">Máquina de tosa Pluma </t>
    </r>
    <r>
      <rPr>
        <b/>
        <sz val="10"/>
        <color theme="1"/>
        <rFont val="Calibri"/>
        <family val="2"/>
        <scheme val="minor"/>
      </rPr>
      <t>EVOLUTION</t>
    </r>
    <r>
      <rPr>
        <sz val="10"/>
        <color theme="1"/>
        <rFont val="Calibri"/>
        <family val="2"/>
        <scheme val="minor"/>
      </rPr>
      <t xml:space="preserve"> Propetz verde profissional, bivolt</t>
    </r>
  </si>
  <si>
    <t>Escova de Banho Propetz</t>
  </si>
  <si>
    <t>Secadores Aura Propetz</t>
  </si>
  <si>
    <r>
      <t xml:space="preserve">Secador Aura Propetz </t>
    </r>
    <r>
      <rPr>
        <b/>
        <sz val="10"/>
        <rFont val="Calibri"/>
        <family val="2"/>
        <scheme val="minor"/>
      </rPr>
      <t>127V</t>
    </r>
  </si>
  <si>
    <r>
      <t xml:space="preserve">Secador Aura Propetz </t>
    </r>
    <r>
      <rPr>
        <b/>
        <sz val="10"/>
        <rFont val="Calibri"/>
        <family val="2"/>
        <scheme val="minor"/>
      </rPr>
      <t>220V</t>
    </r>
  </si>
  <si>
    <t>SEP1-100X-100</t>
  </si>
  <si>
    <t>SEP1-100X-200</t>
  </si>
  <si>
    <t xml:space="preserve">LANÇAMENTOS </t>
  </si>
  <si>
    <r>
      <t xml:space="preserve">Tesoura Super Premium </t>
    </r>
    <r>
      <rPr>
        <b/>
        <sz val="10"/>
        <rFont val="Calibri"/>
        <family val="2"/>
        <scheme val="minor"/>
      </rPr>
      <t>Super Curv</t>
    </r>
    <r>
      <rPr>
        <sz val="10"/>
        <rFont val="Calibri"/>
        <family val="2"/>
        <scheme val="minor"/>
      </rPr>
      <t>a 7,5'' 440c Titanium Propetz</t>
    </r>
  </si>
  <si>
    <r>
      <t xml:space="preserve">Tesoura Super Premium </t>
    </r>
    <r>
      <rPr>
        <b/>
        <sz val="10"/>
        <rFont val="Calibri"/>
        <family val="2"/>
        <scheme val="minor"/>
      </rPr>
      <t>Super SEMI DENTADA ULTRA</t>
    </r>
    <r>
      <rPr>
        <sz val="10"/>
        <rFont val="Calibri"/>
        <family val="2"/>
        <scheme val="minor"/>
      </rPr>
      <t xml:space="preserve"> 7,5'' 440c Titanium Propetz</t>
    </r>
  </si>
  <si>
    <t>C169</t>
  </si>
  <si>
    <t>C170</t>
  </si>
  <si>
    <t>C164</t>
  </si>
  <si>
    <t>C165</t>
  </si>
  <si>
    <t>C183</t>
  </si>
  <si>
    <t>C184</t>
  </si>
  <si>
    <t>C150</t>
  </si>
  <si>
    <t>C159</t>
  </si>
  <si>
    <t>SKU</t>
  </si>
  <si>
    <t>VALOR</t>
  </si>
  <si>
    <t>C86</t>
  </si>
  <si>
    <t>C58</t>
  </si>
  <si>
    <t>C76</t>
  </si>
  <si>
    <t>C80</t>
  </si>
  <si>
    <t>C104</t>
  </si>
  <si>
    <t>C105</t>
  </si>
  <si>
    <t>C108</t>
  </si>
  <si>
    <t>C109</t>
  </si>
  <si>
    <t>C202</t>
  </si>
  <si>
    <t>C203</t>
  </si>
  <si>
    <t>C182</t>
  </si>
  <si>
    <t>C185</t>
  </si>
  <si>
    <t>C10</t>
  </si>
  <si>
    <t>C2</t>
  </si>
  <si>
    <t>C3</t>
  </si>
  <si>
    <t>3x-p</t>
  </si>
  <si>
    <t>C4</t>
  </si>
  <si>
    <t>C5</t>
  </si>
  <si>
    <t>C6</t>
  </si>
  <si>
    <t>C7</t>
  </si>
  <si>
    <t>C8</t>
  </si>
  <si>
    <t>C9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</si>
  <si>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</si>
  <si>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</si>
  <si>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</si>
  <si>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</si>
  <si>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</si>
  <si>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</si>
  <si>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</si>
  <si>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</si>
  <si>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</si>
  <si>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</si>
  <si>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</si>
  <si>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</si>
  <si>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</si>
  <si>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</si>
  <si>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</si>
  <si>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</si>
  <si>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</si>
  <si>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</si>
  <si>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</si>
  <si>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</si>
  <si>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</si>
  <si>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</si>
  <si>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</si>
  <si>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</si>
  <si>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</si>
  <si>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</si>
  <si>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</si>
  <si>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</si>
  <si>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</si>
  <si>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</si>
  <si>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</si>
  <si>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</si>
  <si>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</si>
  <si>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</si>
  <si>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</si>
  <si>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</si>
  <si>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</si>
  <si>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</si>
  <si>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</si>
  <si>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</si>
  <si>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</si>
  <si>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</si>
  <si>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</si>
  <si>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</si>
  <si>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</si>
  <si>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</si>
  <si>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</si>
  <si>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</si>
  <si>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</si>
  <si>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</si>
  <si>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</si>
  <si>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</si>
  <si>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</si>
  <si>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</si>
  <si>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</si>
  <si>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</si>
  <si>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</si>
  <si>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</si>
  <si>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</si>
  <si>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</si>
  <si>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</si>
  <si>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</si>
  <si>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</si>
  <si>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</si>
  <si>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C77</t>
  </si>
  <si>
    <t>C78</t>
  </si>
  <si>
    <t>C79</t>
  </si>
  <si>
    <t>C81</t>
  </si>
  <si>
    <t>C82</t>
  </si>
  <si>
    <t>C83</t>
  </si>
  <si>
    <t>C84</t>
  </si>
  <si>
    <t>C85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</si>
  <si>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</si>
  <si>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</si>
  <si>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</si>
  <si>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</si>
  <si>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</si>
  <si>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</si>
  <si>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</si>
  <si>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</si>
  <si>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</si>
  <si>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</si>
  <si>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</si>
  <si>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</si>
  <si>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</si>
  <si>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</si>
  <si>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</si>
  <si>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</si>
  <si>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</si>
  <si>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C106</t>
  </si>
  <si>
    <t>C107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</si>
  <si>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</si>
  <si>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</si>
  <si>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</si>
  <si>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</si>
  <si>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</si>
  <si>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</si>
  <si>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</si>
  <si>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</si>
  <si>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</si>
  <si>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</si>
  <si>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</si>
  <si>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</si>
  <si>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</si>
  <si>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</si>
  <si>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</si>
  <si>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</si>
  <si>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</si>
  <si>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</si>
  <si>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</si>
  <si>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</si>
  <si>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</si>
  <si>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</si>
  <si>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</si>
  <si>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</si>
  <si>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</si>
  <si>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</si>
  <si>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</si>
  <si>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</si>
  <si>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</si>
  <si>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</si>
  <si>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</si>
  <si>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</si>
  <si>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</si>
  <si>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</si>
  <si>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</si>
  <si>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</si>
  <si>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</si>
  <si>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</si>
  <si>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</si>
  <si>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</si>
  <si>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</si>
  <si>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</si>
  <si>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</si>
  <si>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C154</t>
  </si>
  <si>
    <t>C155</t>
  </si>
  <si>
    <t>C156</t>
  </si>
  <si>
    <t>C157</t>
  </si>
  <si>
    <t>C158</t>
  </si>
  <si>
    <t>C160</t>
  </si>
  <si>
    <t>C161</t>
  </si>
  <si>
    <t>C162</t>
  </si>
  <si>
    <t>C163</t>
  </si>
  <si>
    <t>C166</t>
  </si>
  <si>
    <t>C167</t>
  </si>
  <si>
    <t>C168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</si>
  <si>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</si>
  <si>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</si>
  <si>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</si>
  <si>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</si>
  <si>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</si>
  <si>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</si>
  <si>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</si>
  <si>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</si>
  <si>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</si>
  <si>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</si>
  <si>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</si>
  <si>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</si>
  <si>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</si>
  <si>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</si>
  <si>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</si>
  <si>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</si>
  <si>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</si>
  <si>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</si>
  <si>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</si>
  <si>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</si>
  <si>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</si>
  <si>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</si>
  <si>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</si>
  <si>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</si>
  <si>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</si>
  <si>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</si>
  <si>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</si>
  <si>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r>
      <t xml:space="preserve">Máquina de tosa Pluma </t>
    </r>
    <r>
      <rPr>
        <b/>
        <sz val="10"/>
        <color theme="1"/>
        <rFont val="Calibri"/>
        <family val="2"/>
      </rPr>
      <t>EVOLUTION SEM FIO</t>
    </r>
    <r>
      <rPr>
        <sz val="10"/>
        <color theme="1"/>
        <rFont val="Calibri"/>
        <family val="2"/>
      </rPr>
      <t xml:space="preserve"> Propetz verde profissional, bivolt</t>
    </r>
  </si>
  <si>
    <t xml:space="preserve">Rasqueadeira Curva Média  Azul Propetz </t>
  </si>
  <si>
    <t xml:space="preserve">Rasqueadeira Curva Grande  </t>
  </si>
  <si>
    <t xml:space="preserve">Rasqueadeira Curva c/ Bolinha Média Azul Propetz  </t>
  </si>
  <si>
    <t xml:space="preserve">Rasqueadeira Clássica Reta Média Azul Propetz  </t>
  </si>
  <si>
    <t xml:space="preserve">Pente Penteado de Metal 18cm c/ Cabo Azul Propetz </t>
  </si>
  <si>
    <r>
      <t xml:space="preserve">Máquina De Tosa </t>
    </r>
    <r>
      <rPr>
        <b/>
        <sz val="10"/>
        <color theme="1"/>
        <rFont val="Calibri"/>
        <family val="2"/>
      </rPr>
      <t>VOLARE</t>
    </r>
    <r>
      <rPr>
        <sz val="10"/>
        <color theme="1"/>
        <rFont val="Calibri"/>
        <family val="2"/>
      </rPr>
      <t xml:space="preserve"> Propetz SEM</t>
    </r>
    <r>
      <rPr>
        <b/>
        <sz val="10"/>
        <color theme="1"/>
        <rFont val="Calibri"/>
        <family val="2"/>
      </rPr>
      <t xml:space="preserve"> FIO</t>
    </r>
    <r>
      <rPr>
        <sz val="10"/>
        <color theme="1"/>
        <rFont val="Calibri"/>
        <family val="2"/>
      </rPr>
      <t xml:space="preserve"> Profissional, Bivolt </t>
    </r>
  </si>
  <si>
    <r>
      <t xml:space="preserve">Pente Penteado 18cm </t>
    </r>
    <r>
      <rPr>
        <b/>
        <sz val="10"/>
        <color theme="1"/>
        <rFont val="Calibri"/>
        <family val="2"/>
      </rPr>
      <t>Akemi</t>
    </r>
    <r>
      <rPr>
        <sz val="10"/>
        <color theme="1"/>
        <rFont val="Calibri"/>
        <family val="2"/>
      </rPr>
      <t xml:space="preserve"> Aço Inox Propetz </t>
    </r>
  </si>
  <si>
    <t xml:space="preserve">Faca Stripping 31 Dentes Azul Propetz </t>
  </si>
  <si>
    <t xml:space="preserve">Faca Stripping 40 Dentes Azul Propetz </t>
  </si>
  <si>
    <t xml:space="preserve">Faca Stripping 28 Dentes Face e Orelha Azul Propetz </t>
  </si>
  <si>
    <r>
      <t>Escova Mágica p/</t>
    </r>
    <r>
      <rPr>
        <b/>
        <sz val="10"/>
        <color theme="1"/>
        <rFont val="Calibri"/>
        <family val="2"/>
      </rPr>
      <t xml:space="preserve"> Pelo Curto Média</t>
    </r>
    <r>
      <rPr>
        <sz val="10"/>
        <color theme="1"/>
        <rFont val="Calibri"/>
        <family val="2"/>
      </rPr>
      <t xml:space="preserve"> Azul Propetz </t>
    </r>
  </si>
  <si>
    <r>
      <t>Escova Mágica p/</t>
    </r>
    <r>
      <rPr>
        <b/>
        <sz val="10"/>
        <color theme="1"/>
        <rFont val="Calibri"/>
        <family val="2"/>
      </rPr>
      <t xml:space="preserve"> Pelo Longo Média</t>
    </r>
    <r>
      <rPr>
        <sz val="10"/>
        <color theme="1"/>
        <rFont val="Calibri"/>
        <family val="2"/>
      </rPr>
      <t xml:space="preserve"> Azul Propetz </t>
    </r>
  </si>
  <si>
    <t xml:space="preserve">Tesoura Laser Ponta Protegida Reta 6" Azul Propetz </t>
  </si>
  <si>
    <t>MP3-SF2X-100</t>
  </si>
  <si>
    <t>C1EBA-100X-100</t>
  </si>
  <si>
    <t>H1DMBA-200</t>
  </si>
  <si>
    <r>
      <t xml:space="preserve">Máquina de tosa </t>
    </r>
    <r>
      <rPr>
        <b/>
        <sz val="10"/>
        <color theme="1"/>
        <rFont val="Calibri"/>
        <family val="2"/>
      </rPr>
      <t>PRO7 X</t>
    </r>
    <r>
      <rPr>
        <sz val="10"/>
        <color theme="1"/>
        <rFont val="Calibri"/>
        <family val="2"/>
      </rPr>
      <t xml:space="preserve">  Propetz </t>
    </r>
    <r>
      <rPr>
        <b/>
        <sz val="10"/>
        <color theme="1"/>
        <rFont val="Calibri"/>
        <family val="2"/>
      </rPr>
      <t>VERDE</t>
    </r>
    <r>
      <rPr>
        <sz val="10"/>
        <color theme="1"/>
        <rFont val="Calibri"/>
        <family val="2"/>
      </rPr>
      <t xml:space="preserve"> - 5 em 1, bivolt (cabo USB)</t>
    </r>
  </si>
  <si>
    <r>
      <t xml:space="preserve">Lâmina De Tosa </t>
    </r>
    <r>
      <rPr>
        <b/>
        <sz val="10"/>
        <color rgb="FF1D1C1D"/>
        <rFont val="Calibri"/>
        <family val="2"/>
      </rPr>
      <t>7F</t>
    </r>
    <r>
      <rPr>
        <sz val="10"/>
        <color rgb="FF1D1C1D"/>
        <rFont val="Calibri"/>
        <family val="2"/>
      </rPr>
      <t xml:space="preserve"> Titanium Super Premium  Propetz  </t>
    </r>
  </si>
  <si>
    <t>VALOR PRODUTO A PRAZO</t>
  </si>
  <si>
    <r>
      <t xml:space="preserve">Máquina de tosa Pro7 X  Propetz </t>
    </r>
    <r>
      <rPr>
        <b/>
        <sz val="10"/>
        <color theme="1"/>
        <rFont val="Calibri"/>
        <family val="2"/>
      </rPr>
      <t>verde</t>
    </r>
    <r>
      <rPr>
        <sz val="10"/>
        <color theme="1"/>
        <rFont val="Calibri"/>
        <family val="2"/>
      </rPr>
      <t xml:space="preserve"> - 5 em 1, bivolt</t>
    </r>
  </si>
  <si>
    <r>
      <t xml:space="preserve">Máquina de tosa MO4 Propetz </t>
    </r>
    <r>
      <rPr>
        <b/>
        <sz val="10"/>
        <color theme="1"/>
        <rFont val="Calibri"/>
        <family val="2"/>
        <scheme val="minor"/>
      </rPr>
      <t>AZUL</t>
    </r>
    <r>
      <rPr>
        <sz val="10"/>
        <color theme="1"/>
        <rFont val="Calibri"/>
        <family val="2"/>
        <scheme val="minor"/>
      </rPr>
      <t xml:space="preserve">, Lâmina de Cerâmica, Bivolt </t>
    </r>
    <r>
      <rPr>
        <b/>
        <sz val="10"/>
        <color theme="1"/>
        <rFont val="Calibri"/>
        <family val="2"/>
        <scheme val="minor"/>
      </rPr>
      <t xml:space="preserve">(SEM ESTOQUE) </t>
    </r>
  </si>
  <si>
    <r>
      <t xml:space="preserve">Lâmina de Tosa Linha X </t>
    </r>
    <r>
      <rPr>
        <b/>
        <sz val="10"/>
        <color theme="1"/>
        <rFont val="Calibri"/>
        <family val="2"/>
      </rPr>
      <t xml:space="preserve">5F </t>
    </r>
    <r>
      <rPr>
        <sz val="10"/>
        <color theme="1"/>
        <rFont val="Calibri"/>
        <family val="2"/>
      </rPr>
      <t xml:space="preserve">PRO6/PROX Propetz </t>
    </r>
    <r>
      <rPr>
        <b/>
        <sz val="10"/>
        <color theme="1"/>
        <rFont val="Calibri"/>
        <family val="2"/>
      </rPr>
      <t xml:space="preserve"> (SEM ESTOQUE) </t>
    </r>
  </si>
  <si>
    <r>
      <t xml:space="preserve">Cortante de Cerâmica para Lâminas </t>
    </r>
    <r>
      <rPr>
        <b/>
        <sz val="10"/>
        <color rgb="FF333333"/>
        <rFont val="Calibri"/>
        <family val="2"/>
        <scheme val="minor"/>
      </rPr>
      <t>PRO7</t>
    </r>
    <r>
      <rPr>
        <sz val="10"/>
        <color rgb="FF333333"/>
        <rFont val="Calibri"/>
        <family val="2"/>
        <scheme val="minor"/>
      </rPr>
      <t xml:space="preserve"> Propetz </t>
    </r>
    <r>
      <rPr>
        <b/>
        <sz val="10"/>
        <color rgb="FF333333"/>
        <rFont val="Calibri"/>
        <family val="2"/>
        <scheme val="minor"/>
      </rPr>
      <t xml:space="preserve">(SEM ESTOQUE) </t>
    </r>
  </si>
  <si>
    <r>
      <t xml:space="preserve">Lâmina De Tosa </t>
    </r>
    <r>
      <rPr>
        <b/>
        <sz val="10"/>
        <color rgb="FF1D1C1D"/>
        <rFont val="Calibri"/>
        <family val="2"/>
      </rPr>
      <t>5F</t>
    </r>
    <r>
      <rPr>
        <sz val="10"/>
        <color rgb="FF1D1C1D"/>
        <rFont val="Calibri"/>
        <family val="2"/>
      </rPr>
      <t xml:space="preserve"> Titanium Super Premium Propetz  </t>
    </r>
    <r>
      <rPr>
        <b/>
        <sz val="10"/>
        <color rgb="FF1D1C1D"/>
        <rFont val="Calibri"/>
        <family val="2"/>
      </rPr>
      <t>(SEM ESTOQUE)</t>
    </r>
  </si>
  <si>
    <r>
      <t>Escova de Banho Propetz LANÇAMENTO</t>
    </r>
    <r>
      <rPr>
        <b/>
        <sz val="10"/>
        <color theme="1"/>
        <rFont val="Calibri"/>
        <family val="2"/>
      </rPr>
      <t xml:space="preserve"> (SEM ESTOQUE) </t>
    </r>
  </si>
  <si>
    <t>L1PCPA-200</t>
  </si>
  <si>
    <t>L1C75A-200</t>
  </si>
  <si>
    <r>
      <t xml:space="preserve">Secador Aura Propetz </t>
    </r>
    <r>
      <rPr>
        <b/>
        <sz val="10"/>
        <rFont val="Calibri"/>
        <family val="2"/>
        <scheme val="minor"/>
      </rPr>
      <t>127V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(SEM ESTOQUE) </t>
    </r>
  </si>
  <si>
    <r>
      <t xml:space="preserve">Secador Aura Propetz </t>
    </r>
    <r>
      <rPr>
        <b/>
        <sz val="10"/>
        <rFont val="Calibri"/>
        <family val="2"/>
        <scheme val="minor"/>
      </rPr>
      <t>220V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(SEM ESTOQUE) </t>
    </r>
  </si>
  <si>
    <t>MÍNIMO PERMITIDO</t>
  </si>
  <si>
    <t>falso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</si>
</sst>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[$R$-416]\ * #,##0.00_-;\-[$R$-416]\ * #,##0.00_-;_-[$R$-416]\ * &quot;-&quot;??_-;_-@"/>
    <numFmt numFmtId="166" formatCode="0.0%"/>
    <numFmt numFmtId="167" formatCode="00000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Arial"/>
      <family val="2"/>
    </font>
    <font>
      <b/>
      <sz val="14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1"/>
      <name val="Arial"/>
      <family val="2"/>
    </font>
    <font>
      <sz val="9.9"/>
      <color theme="1"/>
      <name val="Calibri"/>
      <family val="2"/>
    </font>
    <font>
      <b/>
      <sz val="9.9"/>
      <color theme="1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1D1C1D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1D1C1D"/>
      <name val="Calibri"/>
      <family val="2"/>
    </font>
    <font>
      <b/>
      <sz val="10"/>
      <color rgb="FF1D1C1D"/>
      <name val="Calibri"/>
      <family val="2"/>
    </font>
    <font>
      <b/>
      <sz val="10"/>
      <color rgb="FF1D1C1D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Arial"/>
      <family val="2"/>
    </font>
    <font>
      <sz val="10"/>
      <color rgb="FF1F1F1F"/>
      <name val="Arial"/>
      <family val="2"/>
    </font>
    <font>
      <sz val="10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</font>
    <font>
      <sz val="10"/>
      <color rgb="FF333333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Calibri"/>
      <family val="2"/>
    </font>
    <font>
      <b/>
      <sz val="10"/>
      <color rgb="FF000000"/>
      <name val="Calibri"/>
      <family val="2"/>
    </font>
    <font>
      <i/>
      <sz val="10"/>
      <color theme="1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color rgb="FF1F1F1F"/>
      <name val="Calibri"/>
      <family val="2"/>
    </font>
    <font>
      <sz val="10"/>
      <color theme="0"/>
      <name val="Calibri"/>
      <family val="2"/>
    </font>
    <font>
      <sz val="10"/>
      <color rgb="FFFF0000"/>
      <name val="Calibri"/>
      <family val="2"/>
    </font>
    <font>
      <sz val="10"/>
      <color theme="0" tint="-4.9989318521683403E-2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Calibri"/>
      <family val="2"/>
      <scheme val="minor"/>
    </font>
    <font>
      <sz val="10"/>
      <color rgb="FF333333"/>
      <name val="Helvetica"/>
      <family val="2"/>
    </font>
    <font>
      <b/>
      <sz val="12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0"/>
      <name val="Calibri"/>
      <family val="2"/>
    </font>
    <font>
      <sz val="11"/>
      <color rgb="FF0061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D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FF0000"/>
      </patternFill>
    </fill>
    <fill>
      <patternFill patternType="solid">
        <fgColor rgb="FF00A9A5"/>
        <bgColor indexed="64"/>
      </patternFill>
    </fill>
    <fill>
      <patternFill patternType="solid">
        <fgColor rgb="FF00A9A5"/>
        <bgColor rgb="FF66FFCC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2E820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0000"/>
        <bgColor rgb="FF000000"/>
      </patternFill>
    </fill>
    <fill>
      <patternFill patternType="solid">
        <fgColor rgb="FF00FFCC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7" fillId="6" borderId="0">
      <alignment horizontal="left" vertical="top"/>
    </xf>
    <xf numFmtId="0" fontId="7" fillId="6" borderId="0">
      <alignment horizontal="center" vertical="center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1" fillId="0" borderId="0" applyNumberFormat="0" applyFill="0" applyBorder="0" applyAlignment="0" applyProtection="0"/>
    <xf numFmtId="0" fontId="61" fillId="31" borderId="0" applyNumberFormat="0" applyBorder="0" applyAlignment="0" applyProtection="0"/>
  </cellStyleXfs>
  <cellXfs count="48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5" fillId="2" borderId="1" xfId="0" applyFont="1" applyFill="1" applyBorder="1" applyAlignment="1">
      <alignment horizontal="center"/>
    </xf>
    <xf numFmtId="0" fontId="11" fillId="6" borderId="1" xfId="3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 wrapText="1"/>
    </xf>
    <xf numFmtId="165" fontId="16" fillId="7" borderId="14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0" fillId="7" borderId="14" xfId="0" applyFont="1" applyFill="1" applyBorder="1" applyAlignment="1">
      <alignment horizontal="left"/>
    </xf>
    <xf numFmtId="0" fontId="10" fillId="7" borderId="14" xfId="0" applyFont="1" applyFill="1" applyBorder="1"/>
    <xf numFmtId="165" fontId="10" fillId="7" borderId="14" xfId="0" applyNumberFormat="1" applyFont="1" applyFill="1" applyBorder="1"/>
    <xf numFmtId="165" fontId="10" fillId="8" borderId="14" xfId="0" applyNumberFormat="1" applyFont="1" applyFill="1" applyBorder="1"/>
    <xf numFmtId="0" fontId="10" fillId="9" borderId="14" xfId="0" applyFont="1" applyFill="1" applyBorder="1"/>
    <xf numFmtId="0" fontId="10" fillId="0" borderId="14" xfId="0" applyFont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14" fillId="10" borderId="11" xfId="0" applyFont="1" applyFill="1" applyBorder="1" applyAlignment="1">
      <alignment vertical="center"/>
    </xf>
    <xf numFmtId="0" fontId="14" fillId="10" borderId="1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9" fillId="2" borderId="1" xfId="3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44" fontId="0" fillId="0" borderId="0" xfId="0" applyNumberFormat="1"/>
    <xf numFmtId="166" fontId="0" fillId="0" borderId="0" xfId="6" applyNumberFormat="1" applyFont="1"/>
    <xf numFmtId="0" fontId="30" fillId="14" borderId="1" xfId="0" applyFont="1" applyFill="1" applyBorder="1"/>
    <xf numFmtId="0" fontId="17" fillId="10" borderId="13" xfId="0" applyFont="1" applyFill="1" applyBorder="1"/>
    <xf numFmtId="0" fontId="6" fillId="12" borderId="20" xfId="0" applyFont="1" applyFill="1" applyBorder="1"/>
    <xf numFmtId="0" fontId="0" fillId="16" borderId="1" xfId="0" applyFill="1" applyBorder="1" applyAlignment="1">
      <alignment horizontal="center" vertical="center"/>
    </xf>
    <xf numFmtId="44" fontId="0" fillId="0" borderId="0" xfId="1" applyFont="1" applyBorder="1"/>
    <xf numFmtId="1" fontId="0" fillId="0" borderId="0" xfId="0" applyNumberFormat="1" applyAlignment="1">
      <alignment horizontal="center"/>
    </xf>
    <xf numFmtId="0" fontId="0" fillId="0" borderId="19" xfId="0" applyBorder="1"/>
    <xf numFmtId="0" fontId="11" fillId="0" borderId="1" xfId="3" applyFont="1" applyFill="1" applyBorder="1" applyAlignment="1">
      <alignment horizontal="left" vertical="center" wrapText="1"/>
    </xf>
    <xf numFmtId="0" fontId="9" fillId="0" borderId="1" xfId="3" applyFont="1" applyFill="1" applyBorder="1" applyAlignment="1">
      <alignment horizontal="left" vertical="center" wrapText="1"/>
    </xf>
    <xf numFmtId="0" fontId="6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7" borderId="15" xfId="0" applyFont="1" applyFill="1" applyBorder="1" applyAlignment="1">
      <alignment horizontal="left"/>
    </xf>
    <xf numFmtId="0" fontId="10" fillId="7" borderId="15" xfId="0" applyFont="1" applyFill="1" applyBorder="1"/>
    <xf numFmtId="165" fontId="10" fillId="7" borderId="15" xfId="0" applyNumberFormat="1" applyFont="1" applyFill="1" applyBorder="1"/>
    <xf numFmtId="165" fontId="10" fillId="8" borderId="15" xfId="0" applyNumberFormat="1" applyFont="1" applyFill="1" applyBorder="1"/>
    <xf numFmtId="0" fontId="1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165" fontId="16" fillId="7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10" fillId="7" borderId="1" xfId="0" applyFont="1" applyFill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2" borderId="1" xfId="0" applyFont="1" applyFill="1" applyBorder="1"/>
    <xf numFmtId="0" fontId="10" fillId="7" borderId="1" xfId="0" applyFont="1" applyFill="1" applyBorder="1" applyAlignment="1">
      <alignment horizontal="left"/>
    </xf>
    <xf numFmtId="0" fontId="39" fillId="10" borderId="13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 vertical="center"/>
    </xf>
    <xf numFmtId="0" fontId="0" fillId="10" borderId="3" xfId="0" applyFill="1" applyBorder="1"/>
    <xf numFmtId="0" fontId="2" fillId="10" borderId="6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44" fontId="0" fillId="0" borderId="1" xfId="0" applyNumberFormat="1" applyBorder="1"/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left"/>
    </xf>
    <xf numFmtId="0" fontId="0" fillId="19" borderId="1" xfId="0" applyFill="1" applyBorder="1" applyAlignment="1">
      <alignment horizontal="center"/>
    </xf>
    <xf numFmtId="0" fontId="0" fillId="18" borderId="1" xfId="0" applyFill="1" applyBorder="1" applyAlignment="1">
      <alignment horizontal="left"/>
    </xf>
    <xf numFmtId="1" fontId="0" fillId="18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/>
    </xf>
    <xf numFmtId="1" fontId="0" fillId="19" borderId="1" xfId="0" applyNumberFormat="1" applyFill="1" applyBorder="1" applyAlignment="1">
      <alignment horizontal="left"/>
    </xf>
    <xf numFmtId="1" fontId="0" fillId="19" borderId="1" xfId="0" applyNumberFormat="1" applyFill="1" applyBorder="1" applyAlignment="1">
      <alignment horizontal="center"/>
    </xf>
    <xf numFmtId="1" fontId="0" fillId="0" borderId="1" xfId="7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1" borderId="0" xfId="0" applyFill="1"/>
    <xf numFmtId="0" fontId="41" fillId="2" borderId="1" xfId="8" applyFill="1" applyBorder="1"/>
    <xf numFmtId="0" fontId="41" fillId="2" borderId="1" xfId="8" applyFill="1" applyBorder="1" applyAlignment="1">
      <alignment horizontal="center" vertical="center"/>
    </xf>
    <xf numFmtId="0" fontId="41" fillId="2" borderId="1" xfId="8" applyFill="1" applyBorder="1" applyAlignment="1">
      <alignment horizontal="left"/>
    </xf>
    <xf numFmtId="0" fontId="41" fillId="2" borderId="1" xfId="8" applyFill="1" applyBorder="1" applyAlignment="1">
      <alignment horizontal="center"/>
    </xf>
    <xf numFmtId="44" fontId="41" fillId="2" borderId="1" xfId="8" applyNumberFormat="1" applyFill="1" applyBorder="1"/>
    <xf numFmtId="9" fontId="41" fillId="2" borderId="1" xfId="8" applyNumberFormat="1" applyFill="1" applyBorder="1"/>
    <xf numFmtId="0" fontId="41" fillId="2" borderId="1" xfId="8" applyFill="1" applyBorder="1" applyAlignment="1">
      <alignment horizontal="left" vertical="center" wrapText="1"/>
    </xf>
    <xf numFmtId="1" fontId="41" fillId="2" borderId="1" xfId="8" applyNumberFormat="1" applyFill="1" applyBorder="1" applyAlignment="1">
      <alignment horizontal="left"/>
    </xf>
    <xf numFmtId="1" fontId="41" fillId="2" borderId="1" xfId="8" applyNumberFormat="1" applyFill="1" applyBorder="1" applyAlignment="1">
      <alignment horizontal="center"/>
    </xf>
    <xf numFmtId="44" fontId="41" fillId="2" borderId="1" xfId="8" applyNumberFormat="1" applyFill="1" applyBorder="1" applyAlignment="1">
      <alignment horizontal="center"/>
    </xf>
    <xf numFmtId="0" fontId="35" fillId="0" borderId="1" xfId="0" applyFont="1" applyBorder="1"/>
    <xf numFmtId="0" fontId="0" fillId="20" borderId="0" xfId="0" applyFill="1"/>
    <xf numFmtId="0" fontId="6" fillId="18" borderId="1" xfId="0" applyFont="1" applyFill="1" applyBorder="1" applyAlignment="1">
      <alignment horizontal="left" vertical="top" wrapText="1"/>
    </xf>
    <xf numFmtId="0" fontId="10" fillId="23" borderId="1" xfId="0" applyFont="1" applyFill="1" applyBorder="1" applyAlignment="1">
      <alignment horizontal="left" vertical="top" wrapText="1"/>
    </xf>
    <xf numFmtId="0" fontId="10" fillId="24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center" wrapText="1"/>
    </xf>
    <xf numFmtId="0" fontId="12" fillId="18" borderId="1" xfId="0" applyFont="1" applyFill="1" applyBorder="1" applyAlignment="1">
      <alignment horizontal="left" vertical="center"/>
    </xf>
    <xf numFmtId="0" fontId="6" fillId="18" borderId="1" xfId="0" applyFont="1" applyFill="1" applyBorder="1"/>
    <xf numFmtId="0" fontId="10" fillId="24" borderId="1" xfId="0" applyFont="1" applyFill="1" applyBorder="1"/>
    <xf numFmtId="0" fontId="18" fillId="23" borderId="1" xfId="0" applyFont="1" applyFill="1" applyBorder="1" applyAlignment="1">
      <alignment horizontal="left" vertical="center" wrapText="1"/>
    </xf>
    <xf numFmtId="0" fontId="30" fillId="25" borderId="1" xfId="0" applyFont="1" applyFill="1" applyBorder="1"/>
    <xf numFmtId="0" fontId="24" fillId="18" borderId="1" xfId="0" applyFont="1" applyFill="1" applyBorder="1" applyAlignment="1">
      <alignment horizontal="left"/>
    </xf>
    <xf numFmtId="0" fontId="24" fillId="18" borderId="1" xfId="0" applyFont="1" applyFill="1" applyBorder="1"/>
    <xf numFmtId="0" fontId="24" fillId="18" borderId="1" xfId="0" applyFont="1" applyFill="1" applyBorder="1" applyAlignment="1">
      <alignment vertical="center"/>
    </xf>
    <xf numFmtId="0" fontId="10" fillId="24" borderId="1" xfId="0" applyFont="1" applyFill="1" applyBorder="1" applyAlignment="1">
      <alignment horizontal="left"/>
    </xf>
    <xf numFmtId="0" fontId="10" fillId="23" borderId="1" xfId="0" applyFont="1" applyFill="1" applyBorder="1" applyAlignment="1">
      <alignment horizontal="left"/>
    </xf>
    <xf numFmtId="0" fontId="6" fillId="18" borderId="1" xfId="0" applyFont="1" applyFill="1" applyBorder="1" applyAlignment="1">
      <alignment horizontal="left"/>
    </xf>
    <xf numFmtId="0" fontId="2" fillId="10" borderId="8" xfId="0" applyFont="1" applyFill="1" applyBorder="1" applyAlignment="1">
      <alignment vertical="center" wrapText="1"/>
    </xf>
    <xf numFmtId="0" fontId="0" fillId="0" borderId="16" xfId="0" applyBorder="1"/>
    <xf numFmtId="0" fontId="10" fillId="23" borderId="1" xfId="0" applyFont="1" applyFill="1" applyBorder="1"/>
    <xf numFmtId="0" fontId="10" fillId="23" borderId="1" xfId="0" applyFont="1" applyFill="1" applyBorder="1" applyAlignment="1">
      <alignment vertical="center" wrapText="1"/>
    </xf>
    <xf numFmtId="0" fontId="20" fillId="26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left" vertical="center"/>
    </xf>
    <xf numFmtId="0" fontId="28" fillId="18" borderId="1" xfId="0" applyFont="1" applyFill="1" applyBorder="1" applyAlignment="1">
      <alignment horizontal="left" vertical="center"/>
    </xf>
    <xf numFmtId="0" fontId="36" fillId="18" borderId="1" xfId="0" applyFont="1" applyFill="1" applyBorder="1"/>
    <xf numFmtId="0" fontId="12" fillId="18" borderId="1" xfId="0" applyFont="1" applyFill="1" applyBorder="1" applyAlignment="1">
      <alignment horizontal="left" vertical="center" wrapText="1"/>
    </xf>
    <xf numFmtId="0" fontId="30" fillId="27" borderId="1" xfId="0" applyFont="1" applyFill="1" applyBorder="1"/>
    <xf numFmtId="0" fontId="0" fillId="0" borderId="1" xfId="0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/>
    </xf>
    <xf numFmtId="0" fontId="11" fillId="19" borderId="1" xfId="3" applyFont="1" applyFill="1" applyBorder="1" applyAlignment="1">
      <alignment horizontal="center" vertical="center" wrapText="1"/>
    </xf>
    <xf numFmtId="0" fontId="6" fillId="2" borderId="0" xfId="0" applyFont="1" applyFill="1"/>
    <xf numFmtId="0" fontId="16" fillId="10" borderId="1" xfId="2" applyFont="1" applyFill="1" applyBorder="1" applyAlignment="1">
      <alignment horizontal="center" vertical="center" wrapText="1"/>
    </xf>
    <xf numFmtId="0" fontId="40" fillId="2" borderId="0" xfId="0" applyFont="1" applyFill="1"/>
    <xf numFmtId="0" fontId="44" fillId="0" borderId="0" xfId="0" applyFont="1"/>
    <xf numFmtId="0" fontId="40" fillId="0" borderId="0" xfId="0" applyFont="1"/>
    <xf numFmtId="166" fontId="40" fillId="0" borderId="0" xfId="6" applyNumberFormat="1" applyFont="1"/>
    <xf numFmtId="0" fontId="10" fillId="0" borderId="0" xfId="0" applyFont="1"/>
    <xf numFmtId="0" fontId="10" fillId="2" borderId="0" xfId="0" applyFont="1" applyFill="1"/>
    <xf numFmtId="0" fontId="16" fillId="10" borderId="1" xfId="0" applyFont="1" applyFill="1" applyBorder="1" applyAlignment="1">
      <alignment horizontal="left"/>
    </xf>
    <xf numFmtId="0" fontId="10" fillId="2" borderId="2" xfId="0" applyFont="1" applyFill="1" applyBorder="1"/>
    <xf numFmtId="0" fontId="10" fillId="0" borderId="2" xfId="0" applyFont="1" applyBorder="1"/>
    <xf numFmtId="166" fontId="10" fillId="2" borderId="1" xfId="0" applyNumberFormat="1" applyFont="1" applyFill="1" applyBorder="1" applyAlignment="1">
      <alignment horizontal="left"/>
    </xf>
    <xf numFmtId="0" fontId="16" fillId="3" borderId="21" xfId="0" applyFont="1" applyFill="1" applyBorder="1" applyAlignment="1">
      <alignment horizontal="left"/>
    </xf>
    <xf numFmtId="166" fontId="10" fillId="0" borderId="0" xfId="6" applyNumberFormat="1" applyFont="1"/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16" fillId="0" borderId="0" xfId="0" quotePrefix="1" applyFont="1" applyAlignment="1">
      <alignment horizontal="left"/>
    </xf>
    <xf numFmtId="164" fontId="16" fillId="0" borderId="22" xfId="0" applyNumberFormat="1" applyFont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0" fontId="16" fillId="10" borderId="18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64" fontId="16" fillId="10" borderId="1" xfId="0" applyNumberFormat="1" applyFont="1" applyFill="1" applyBorder="1" applyAlignment="1">
      <alignment horizontal="center" vertical="center"/>
    </xf>
    <xf numFmtId="166" fontId="16" fillId="10" borderId="1" xfId="6" applyNumberFormat="1" applyFont="1" applyFill="1" applyBorder="1" applyAlignment="1">
      <alignment horizontal="center" vertical="center"/>
    </xf>
    <xf numFmtId="166" fontId="16" fillId="22" borderId="1" xfId="6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/>
    </xf>
    <xf numFmtId="1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64" fontId="16" fillId="2" borderId="1" xfId="0" applyNumberFormat="1" applyFont="1" applyFill="1" applyBorder="1" applyAlignment="1">
      <alignment horizontal="center" vertical="center"/>
    </xf>
    <xf numFmtId="166" fontId="16" fillId="2" borderId="1" xfId="6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/>
    <xf numFmtId="44" fontId="10" fillId="0" borderId="1" xfId="1" applyFont="1" applyBorder="1"/>
    <xf numFmtId="44" fontId="16" fillId="2" borderId="1" xfId="1" applyFont="1" applyFill="1" applyBorder="1" applyAlignment="1">
      <alignment horizontal="center" vertical="center"/>
    </xf>
    <xf numFmtId="44" fontId="10" fillId="2" borderId="1" xfId="1" applyFont="1" applyFill="1" applyBorder="1" applyAlignment="1">
      <alignment horizontal="center" vertical="center"/>
    </xf>
    <xf numFmtId="44" fontId="10" fillId="0" borderId="1" xfId="0" applyNumberFormat="1" applyFont="1" applyBorder="1"/>
    <xf numFmtId="1" fontId="45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center"/>
    </xf>
    <xf numFmtId="44" fontId="10" fillId="2" borderId="1" xfId="1" applyFont="1" applyFill="1" applyBorder="1"/>
    <xf numFmtId="1" fontId="10" fillId="20" borderId="1" xfId="0" applyNumberFormat="1" applyFont="1" applyFill="1" applyBorder="1" applyAlignment="1">
      <alignment horizontal="left"/>
    </xf>
    <xf numFmtId="44" fontId="10" fillId="20" borderId="1" xfId="1" applyFont="1" applyFill="1" applyBorder="1"/>
    <xf numFmtId="44" fontId="16" fillId="20" borderId="1" xfId="1" applyFont="1" applyFill="1" applyBorder="1" applyAlignment="1">
      <alignment horizontal="center" vertical="center"/>
    </xf>
    <xf numFmtId="44" fontId="10" fillId="21" borderId="1" xfId="1" applyFont="1" applyFill="1" applyBorder="1"/>
    <xf numFmtId="44" fontId="10" fillId="21" borderId="1" xfId="0" applyNumberFormat="1" applyFont="1" applyFill="1" applyBorder="1"/>
    <xf numFmtId="44" fontId="10" fillId="0" borderId="1" xfId="1" applyFont="1" applyFill="1" applyBorder="1"/>
    <xf numFmtId="0" fontId="10" fillId="2" borderId="1" xfId="0" applyFont="1" applyFill="1" applyBorder="1" applyAlignment="1">
      <alignment horizontal="left" vertical="center"/>
    </xf>
    <xf numFmtId="44" fontId="16" fillId="2" borderId="1" xfId="6" applyNumberFormat="1" applyFont="1" applyFill="1" applyBorder="1" applyAlignment="1">
      <alignment horizontal="center" vertical="center"/>
    </xf>
    <xf numFmtId="44" fontId="10" fillId="2" borderId="1" xfId="6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10" fillId="20" borderId="1" xfId="0" applyFont="1" applyFill="1" applyBorder="1" applyAlignment="1">
      <alignment horizontal="left" vertical="center"/>
    </xf>
    <xf numFmtId="44" fontId="10" fillId="20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1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quotePrefix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 wrapText="1"/>
    </xf>
    <xf numFmtId="44" fontId="10" fillId="2" borderId="1" xfId="1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44" fontId="10" fillId="20" borderId="1" xfId="0" applyNumberFormat="1" applyFont="1" applyFill="1" applyBorder="1"/>
    <xf numFmtId="49" fontId="10" fillId="2" borderId="1" xfId="0" applyNumberFormat="1" applyFont="1" applyFill="1" applyBorder="1" applyAlignment="1">
      <alignment horizontal="left"/>
    </xf>
    <xf numFmtId="44" fontId="10" fillId="0" borderId="1" xfId="1" applyFont="1" applyFill="1" applyBorder="1" applyAlignment="1">
      <alignment horizontal="center" vertical="center"/>
    </xf>
    <xf numFmtId="44" fontId="10" fillId="0" borderId="0" xfId="1" applyFont="1"/>
    <xf numFmtId="0" fontId="16" fillId="10" borderId="1" xfId="0" applyFont="1" applyFill="1" applyBorder="1" applyAlignment="1">
      <alignment horizontal="center"/>
    </xf>
    <xf numFmtId="164" fontId="16" fillId="10" borderId="1" xfId="1" applyNumberFormat="1" applyFont="1" applyFill="1" applyBorder="1"/>
    <xf numFmtId="1" fontId="45" fillId="0" borderId="0" xfId="0" applyNumberFormat="1" applyFont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6" fontId="16" fillId="0" borderId="1" xfId="6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/>
    <xf numFmtId="44" fontId="16" fillId="0" borderId="1" xfId="1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/>
    </xf>
    <xf numFmtId="0" fontId="16" fillId="10" borderId="1" xfId="0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/>
    </xf>
    <xf numFmtId="0" fontId="16" fillId="10" borderId="17" xfId="0" applyFont="1" applyFill="1" applyBorder="1" applyAlignment="1">
      <alignment horizontal="left" vertical="center"/>
    </xf>
    <xf numFmtId="164" fontId="16" fillId="10" borderId="17" xfId="0" applyNumberFormat="1" applyFont="1" applyFill="1" applyBorder="1" applyAlignment="1">
      <alignment horizontal="center" vertical="center"/>
    </xf>
    <xf numFmtId="1" fontId="45" fillId="0" borderId="1" xfId="0" applyNumberFormat="1" applyFont="1" applyBorder="1" applyAlignment="1">
      <alignment horizontal="left"/>
    </xf>
    <xf numFmtId="0" fontId="51" fillId="0" borderId="0" xfId="0" applyFont="1"/>
    <xf numFmtId="0" fontId="51" fillId="2" borderId="0" xfId="0" applyFont="1" applyFill="1"/>
    <xf numFmtId="0" fontId="52" fillId="0" borderId="0" xfId="0" applyFont="1"/>
    <xf numFmtId="0" fontId="53" fillId="0" borderId="0" xfId="0" applyFont="1"/>
    <xf numFmtId="0" fontId="53" fillId="2" borderId="0" xfId="0" applyFont="1" applyFill="1"/>
    <xf numFmtId="0" fontId="16" fillId="20" borderId="5" xfId="0" quotePrefix="1" applyFont="1" applyFill="1" applyBorder="1" applyAlignment="1">
      <alignment horizontal="left"/>
    </xf>
    <xf numFmtId="166" fontId="10" fillId="0" borderId="6" xfId="6" applyNumberFormat="1" applyFont="1" applyFill="1" applyBorder="1" applyAlignment="1"/>
    <xf numFmtId="166" fontId="52" fillId="0" borderId="0" xfId="6" applyNumberFormat="1" applyFont="1" applyFill="1" applyAlignment="1"/>
    <xf numFmtId="166" fontId="10" fillId="0" borderId="6" xfId="6" applyNumberFormat="1" applyFont="1" applyFill="1" applyBorder="1" applyAlignment="1">
      <alignment horizontal="center"/>
    </xf>
    <xf numFmtId="166" fontId="10" fillId="0" borderId="0" xfId="6" applyNumberFormat="1" applyFont="1" applyFill="1" applyAlignment="1">
      <alignment horizontal="center"/>
    </xf>
    <xf numFmtId="166" fontId="53" fillId="0" borderId="0" xfId="6" applyNumberFormat="1" applyFont="1" applyFill="1" applyAlignment="1">
      <alignment horizontal="center"/>
    </xf>
    <xf numFmtId="43" fontId="10" fillId="0" borderId="6" xfId="5" applyFont="1" applyFill="1" applyBorder="1" applyAlignment="1"/>
    <xf numFmtId="166" fontId="10" fillId="0" borderId="0" xfId="6" applyNumberFormat="1" applyFont="1" applyFill="1" applyAlignment="1"/>
    <xf numFmtId="166" fontId="53" fillId="0" borderId="0" xfId="6" applyNumberFormat="1" applyFont="1" applyFill="1" applyAlignment="1"/>
    <xf numFmtId="0" fontId="16" fillId="22" borderId="5" xfId="0" quotePrefix="1" applyFont="1" applyFill="1" applyBorder="1" applyAlignment="1">
      <alignment horizontal="left"/>
    </xf>
    <xf numFmtId="44" fontId="10" fillId="0" borderId="0" xfId="0" applyNumberFormat="1" applyFont="1"/>
    <xf numFmtId="0" fontId="16" fillId="10" borderId="5" xfId="0" applyFont="1" applyFill="1" applyBorder="1" applyAlignment="1">
      <alignment horizontal="left"/>
    </xf>
    <xf numFmtId="0" fontId="16" fillId="10" borderId="5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vertical="center"/>
    </xf>
    <xf numFmtId="166" fontId="10" fillId="0" borderId="0" xfId="6" applyNumberFormat="1" applyFont="1" applyBorder="1"/>
    <xf numFmtId="9" fontId="16" fillId="0" borderId="0" xfId="6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10" borderId="2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9" xfId="0" applyFont="1" applyFill="1" applyBorder="1" applyAlignment="1">
      <alignment vertical="center"/>
    </xf>
    <xf numFmtId="0" fontId="10" fillId="10" borderId="11" xfId="0" applyFont="1" applyFill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left" vertical="center" wrapText="1"/>
    </xf>
    <xf numFmtId="1" fontId="45" fillId="20" borderId="0" xfId="0" applyNumberFormat="1" applyFont="1" applyFill="1" applyAlignment="1">
      <alignment horizontal="center"/>
    </xf>
    <xf numFmtId="0" fontId="10" fillId="20" borderId="1" xfId="0" applyFont="1" applyFill="1" applyBorder="1" applyAlignment="1">
      <alignment horizontal="left" vertical="top" wrapText="1"/>
    </xf>
    <xf numFmtId="44" fontId="10" fillId="20" borderId="1" xfId="6" applyNumberFormat="1" applyFont="1" applyFill="1" applyBorder="1" applyAlignment="1">
      <alignment horizontal="center" vertical="center"/>
    </xf>
    <xf numFmtId="44" fontId="16" fillId="20" borderId="1" xfId="6" applyNumberFormat="1" applyFont="1" applyFill="1" applyBorder="1" applyAlignment="1">
      <alignment horizontal="center" vertical="center"/>
    </xf>
    <xf numFmtId="0" fontId="38" fillId="0" borderId="0" xfId="0" applyFont="1"/>
    <xf numFmtId="0" fontId="43" fillId="0" borderId="0" xfId="0" applyFont="1"/>
    <xf numFmtId="0" fontId="16" fillId="28" borderId="1" xfId="0" applyFont="1" applyFill="1" applyBorder="1" applyAlignment="1">
      <alignment horizontal="left"/>
    </xf>
    <xf numFmtId="0" fontId="16" fillId="28" borderId="1" xfId="0" applyFont="1" applyFill="1" applyBorder="1"/>
    <xf numFmtId="0" fontId="16" fillId="28" borderId="20" xfId="0" applyFont="1" applyFill="1" applyBorder="1" applyAlignment="1">
      <alignment horizontal="left" vertical="center" wrapText="1"/>
    </xf>
    <xf numFmtId="0" fontId="16" fillId="28" borderId="10" xfId="0" quotePrefix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/>
    </xf>
    <xf numFmtId="1" fontId="9" fillId="2" borderId="20" xfId="1" applyNumberFormat="1" applyFont="1" applyFill="1" applyBorder="1" applyAlignment="1">
      <alignment horizontal="left" vertical="center"/>
    </xf>
    <xf numFmtId="0" fontId="55" fillId="2" borderId="0" xfId="0" applyFont="1" applyFill="1"/>
    <xf numFmtId="0" fontId="56" fillId="2" borderId="0" xfId="0" applyFont="1" applyFill="1"/>
    <xf numFmtId="0" fontId="54" fillId="2" borderId="0" xfId="0" applyFont="1" applyFill="1"/>
    <xf numFmtId="0" fontId="54" fillId="0" borderId="0" xfId="0" applyFont="1"/>
    <xf numFmtId="44" fontId="52" fillId="0" borderId="0" xfId="0" applyNumberFormat="1" applyFont="1"/>
    <xf numFmtId="0" fontId="10" fillId="28" borderId="1" xfId="0" applyFont="1" applyFill="1" applyBorder="1" applyAlignment="1">
      <alignment horizontal="left" vertical="center"/>
    </xf>
    <xf numFmtId="0" fontId="57" fillId="28" borderId="0" xfId="0" applyFont="1" applyFill="1"/>
    <xf numFmtId="44" fontId="10" fillId="2" borderId="1" xfId="0" applyNumberFormat="1" applyFont="1" applyFill="1" applyBorder="1"/>
    <xf numFmtId="0" fontId="51" fillId="0" borderId="0" xfId="0" applyFont="1" applyAlignment="1">
      <alignment horizontal="center" vertical="center"/>
    </xf>
    <xf numFmtId="0" fontId="58" fillId="2" borderId="1" xfId="0" applyFont="1" applyFill="1" applyBorder="1" applyAlignment="1">
      <alignment horizontal="center" vertical="center" wrapText="1"/>
    </xf>
    <xf numFmtId="0" fontId="10" fillId="23" borderId="17" xfId="0" applyFont="1" applyFill="1" applyBorder="1" applyAlignment="1">
      <alignment horizontal="left"/>
    </xf>
    <xf numFmtId="0" fontId="16" fillId="7" borderId="18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/>
    </xf>
    <xf numFmtId="0" fontId="33" fillId="18" borderId="0" xfId="0" applyFont="1" applyFill="1"/>
    <xf numFmtId="0" fontId="6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6" fontId="10" fillId="8" borderId="1" xfId="6" applyNumberFormat="1" applyFont="1" applyFill="1" applyBorder="1" applyAlignment="1">
      <alignment horizontal="center" vertical="center"/>
    </xf>
    <xf numFmtId="166" fontId="10" fillId="8" borderId="1" xfId="6" applyNumberFormat="1" applyFont="1" applyFill="1" applyBorder="1" applyAlignment="1">
      <alignment horizontal="center"/>
    </xf>
    <xf numFmtId="44" fontId="10" fillId="8" borderId="1" xfId="1" applyFont="1" applyFill="1" applyBorder="1" applyAlignment="1">
      <alignment horizontal="center"/>
    </xf>
    <xf numFmtId="0" fontId="0" fillId="12" borderId="0" xfId="0" applyFill="1"/>
    <xf numFmtId="166" fontId="16" fillId="8" borderId="1" xfId="0" applyNumberFormat="1" applyFont="1" applyFill="1" applyBorder="1" applyAlignment="1">
      <alignment horizontal="center" vertical="center"/>
    </xf>
    <xf numFmtId="166" fontId="16" fillId="8" borderId="1" xfId="0" applyNumberFormat="1" applyFont="1" applyFill="1" applyBorder="1" applyAlignment="1">
      <alignment horizontal="center"/>
    </xf>
    <xf numFmtId="166" fontId="16" fillId="8" borderId="18" xfId="0" applyNumberFormat="1" applyFont="1" applyFill="1" applyBorder="1" applyAlignment="1">
      <alignment horizontal="center"/>
    </xf>
    <xf numFmtId="10" fontId="10" fillId="8" borderId="1" xfId="6" applyNumberFormat="1" applyFont="1" applyFill="1" applyBorder="1" applyAlignment="1">
      <alignment horizontal="center" vertical="center"/>
    </xf>
    <xf numFmtId="10" fontId="10" fillId="8" borderId="1" xfId="6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left"/>
    </xf>
    <xf numFmtId="0" fontId="30" fillId="2" borderId="1" xfId="0" applyFont="1" applyFill="1" applyBorder="1"/>
    <xf numFmtId="0" fontId="30" fillId="2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/>
    </xf>
    <xf numFmtId="44" fontId="10" fillId="28" borderId="1" xfId="1" applyFont="1" applyFill="1" applyBorder="1"/>
    <xf numFmtId="44" fontId="16" fillId="28" borderId="1" xfId="1" applyFont="1" applyFill="1" applyBorder="1" applyAlignment="1">
      <alignment horizontal="center" vertical="center"/>
    </xf>
    <xf numFmtId="44" fontId="10" fillId="28" borderId="1" xfId="1" applyFont="1" applyFill="1" applyBorder="1" applyAlignment="1">
      <alignment horizontal="center" vertical="center"/>
    </xf>
    <xf numFmtId="0" fontId="1" fillId="28" borderId="1" xfId="7" applyFont="1" applyFill="1" applyBorder="1" applyAlignment="1">
      <alignment horizontal="left"/>
    </xf>
    <xf numFmtId="0" fontId="6" fillId="28" borderId="0" xfId="0" applyFont="1" applyFill="1" applyAlignment="1">
      <alignment horizontal="left" vertical="center"/>
    </xf>
    <xf numFmtId="0" fontId="6" fillId="28" borderId="14" xfId="0" applyFont="1" applyFill="1" applyBorder="1" applyAlignment="1">
      <alignment horizontal="left" vertical="center"/>
    </xf>
    <xf numFmtId="0" fontId="16" fillId="28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20" borderId="1" xfId="0" applyFont="1" applyFill="1" applyBorder="1" applyAlignment="1">
      <alignment horizontal="center"/>
    </xf>
    <xf numFmtId="164" fontId="16" fillId="20" borderId="1" xfId="0" applyNumberFormat="1" applyFont="1" applyFill="1" applyBorder="1" applyAlignment="1">
      <alignment horizontal="center" vertical="center"/>
    </xf>
    <xf numFmtId="166" fontId="16" fillId="20" borderId="1" xfId="6" applyNumberFormat="1" applyFont="1" applyFill="1" applyBorder="1" applyAlignment="1">
      <alignment horizontal="center" vertical="center"/>
    </xf>
    <xf numFmtId="164" fontId="10" fillId="20" borderId="1" xfId="1" applyNumberFormat="1" applyFont="1" applyFill="1" applyBorder="1"/>
    <xf numFmtId="44" fontId="10" fillId="0" borderId="1" xfId="6" applyNumberFormat="1" applyFont="1" applyFill="1" applyBorder="1" applyAlignment="1">
      <alignment horizontal="center" vertical="center"/>
    </xf>
    <xf numFmtId="0" fontId="11" fillId="20" borderId="1" xfId="3" applyFont="1" applyFill="1" applyBorder="1" applyAlignment="1">
      <alignment horizontal="left" vertical="center" wrapText="1"/>
    </xf>
    <xf numFmtId="0" fontId="9" fillId="20" borderId="1" xfId="3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left" vertical="center"/>
    </xf>
    <xf numFmtId="49" fontId="11" fillId="20" borderId="1" xfId="0" applyNumberFormat="1" applyFont="1" applyFill="1" applyBorder="1" applyAlignment="1">
      <alignment vertical="center"/>
    </xf>
    <xf numFmtId="49" fontId="9" fillId="20" borderId="1" xfId="0" applyNumberFormat="1" applyFont="1" applyFill="1" applyBorder="1" applyAlignment="1">
      <alignment vertical="center"/>
    </xf>
    <xf numFmtId="0" fontId="50" fillId="20" borderId="1" xfId="0" applyFont="1" applyFill="1" applyBorder="1"/>
    <xf numFmtId="49" fontId="9" fillId="20" borderId="1" xfId="0" applyNumberFormat="1" applyFont="1" applyFill="1" applyBorder="1" applyAlignment="1">
      <alignment horizontal="left" vertical="center"/>
    </xf>
    <xf numFmtId="0" fontId="51" fillId="2" borderId="0" xfId="0" applyFont="1" applyFill="1" applyAlignment="1">
      <alignment horizontal="left"/>
    </xf>
    <xf numFmtId="1" fontId="51" fillId="0" borderId="0" xfId="5" applyNumberFormat="1" applyFont="1" applyBorder="1" applyAlignment="1">
      <alignment horizontal="left"/>
    </xf>
    <xf numFmtId="0" fontId="51" fillId="2" borderId="0" xfId="0" applyFont="1" applyFill="1" applyAlignment="1">
      <alignment vertical="center" wrapText="1"/>
    </xf>
    <xf numFmtId="0" fontId="51" fillId="2" borderId="0" xfId="0" applyFont="1" applyFill="1" applyAlignment="1">
      <alignment horizontal="center"/>
    </xf>
    <xf numFmtId="164" fontId="60" fillId="2" borderId="0" xfId="0" applyNumberFormat="1" applyFont="1" applyFill="1" applyAlignment="1">
      <alignment horizontal="center" vertical="center"/>
    </xf>
    <xf numFmtId="164" fontId="51" fillId="0" borderId="0" xfId="0" applyNumberFormat="1" applyFont="1"/>
    <xf numFmtId="44" fontId="51" fillId="0" borderId="0" xfId="0" applyNumberFormat="1" applyFont="1"/>
    <xf numFmtId="0" fontId="9" fillId="20" borderId="20" xfId="0" applyFont="1" applyFill="1" applyBorder="1" applyAlignment="1">
      <alignment horizontal="left"/>
    </xf>
    <xf numFmtId="0" fontId="10" fillId="20" borderId="1" xfId="0" applyFont="1" applyFill="1" applyBorder="1"/>
    <xf numFmtId="0" fontId="10" fillId="20" borderId="1" xfId="0" applyFont="1" applyFill="1" applyBorder="1" applyAlignment="1">
      <alignment horizontal="left"/>
    </xf>
    <xf numFmtId="49" fontId="10" fillId="20" borderId="1" xfId="0" applyNumberFormat="1" applyFont="1" applyFill="1" applyBorder="1" applyAlignment="1">
      <alignment horizontal="left"/>
    </xf>
    <xf numFmtId="0" fontId="10" fillId="20" borderId="1" xfId="0" applyFont="1" applyFill="1" applyBorder="1" applyAlignment="1">
      <alignment horizontal="left" vertical="center" wrapText="1"/>
    </xf>
    <xf numFmtId="167" fontId="10" fillId="20" borderId="1" xfId="0" applyNumberFormat="1" applyFont="1" applyFill="1" applyBorder="1" applyAlignment="1">
      <alignment horizontal="left"/>
    </xf>
    <xf numFmtId="1" fontId="10" fillId="20" borderId="1" xfId="0" applyNumberFormat="1" applyFont="1" applyFill="1" applyBorder="1" applyAlignment="1">
      <alignment horizontal="left" vertical="center"/>
    </xf>
    <xf numFmtId="0" fontId="10" fillId="20" borderId="20" xfId="0" applyFont="1" applyFill="1" applyBorder="1"/>
    <xf numFmtId="1" fontId="10" fillId="20" borderId="2" xfId="0" applyNumberFormat="1" applyFont="1" applyFill="1" applyBorder="1" applyAlignment="1">
      <alignment horizontal="left" vertical="center"/>
    </xf>
    <xf numFmtId="0" fontId="45" fillId="20" borderId="1" xfId="0" applyFont="1" applyFill="1" applyBorder="1"/>
    <xf numFmtId="1" fontId="45" fillId="20" borderId="0" xfId="0" applyNumberFormat="1" applyFont="1" applyFill="1" applyAlignment="1">
      <alignment horizontal="left"/>
    </xf>
    <xf numFmtId="10" fontId="16" fillId="20" borderId="1" xfId="6" applyNumberFormat="1" applyFont="1" applyFill="1" applyBorder="1" applyAlignment="1">
      <alignment horizontal="center" vertical="center"/>
    </xf>
    <xf numFmtId="44" fontId="53" fillId="2" borderId="0" xfId="0" applyNumberFormat="1" applyFont="1" applyFill="1"/>
    <xf numFmtId="0" fontId="33" fillId="2" borderId="1" xfId="0" applyFont="1" applyFill="1" applyBorder="1"/>
    <xf numFmtId="0" fontId="10" fillId="2" borderId="17" xfId="0" applyFont="1" applyFill="1" applyBorder="1"/>
    <xf numFmtId="0" fontId="20" fillId="29" borderId="1" xfId="0" applyFont="1" applyFill="1" applyBorder="1" applyAlignment="1">
      <alignment horizontal="left" vertical="center" wrapText="1"/>
    </xf>
    <xf numFmtId="0" fontId="37" fillId="2" borderId="1" xfId="0" applyFont="1" applyFill="1" applyBorder="1"/>
    <xf numFmtId="0" fontId="11" fillId="2" borderId="1" xfId="3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2" borderId="13" xfId="0" applyFont="1" applyFill="1" applyBorder="1"/>
    <xf numFmtId="0" fontId="16" fillId="2" borderId="14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165" fontId="10" fillId="2" borderId="14" xfId="0" applyNumberFormat="1" applyFont="1" applyFill="1" applyBorder="1"/>
    <xf numFmtId="9" fontId="10" fillId="2" borderId="27" xfId="0" applyNumberFormat="1" applyFont="1" applyFill="1" applyBorder="1" applyAlignment="1">
      <alignment horizontal="center"/>
    </xf>
    <xf numFmtId="165" fontId="10" fillId="2" borderId="15" xfId="0" applyNumberFormat="1" applyFont="1" applyFill="1" applyBorder="1"/>
    <xf numFmtId="9" fontId="10" fillId="2" borderId="28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44" fontId="10" fillId="30" borderId="1" xfId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10" fontId="16" fillId="2" borderId="1" xfId="6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33" fillId="4" borderId="0" xfId="0" applyFont="1" applyFill="1"/>
    <xf numFmtId="0" fontId="5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top" wrapText="1"/>
    </xf>
    <xf numFmtId="0" fontId="6" fillId="28" borderId="20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left" vertical="center" wrapText="1"/>
    </xf>
    <xf numFmtId="0" fontId="12" fillId="2" borderId="20" xfId="0" applyFont="1" applyFill="1" applyBorder="1" applyAlignment="1">
      <alignment horizontal="left" vertical="center"/>
    </xf>
    <xf numFmtId="0" fontId="6" fillId="2" borderId="20" xfId="0" applyFont="1" applyFill="1" applyBorder="1"/>
    <xf numFmtId="0" fontId="30" fillId="14" borderId="20" xfId="0" applyFont="1" applyFill="1" applyBorder="1"/>
    <xf numFmtId="0" fontId="24" fillId="2" borderId="20" xfId="0" applyFont="1" applyFill="1" applyBorder="1" applyAlignment="1">
      <alignment horizontal="left"/>
    </xf>
    <xf numFmtId="0" fontId="24" fillId="2" borderId="20" xfId="0" applyFont="1" applyFill="1" applyBorder="1"/>
    <xf numFmtId="0" fontId="24" fillId="2" borderId="20" xfId="0" applyFont="1" applyFill="1" applyBorder="1" applyAlignment="1">
      <alignment vertical="center"/>
    </xf>
    <xf numFmtId="0" fontId="6" fillId="2" borderId="20" xfId="0" applyFont="1" applyFill="1" applyBorder="1" applyAlignment="1">
      <alignment horizontal="left"/>
    </xf>
    <xf numFmtId="0" fontId="10" fillId="28" borderId="20" xfId="0" applyFont="1" applyFill="1" applyBorder="1" applyAlignment="1">
      <alignment horizontal="left" vertical="center"/>
    </xf>
    <xf numFmtId="0" fontId="6" fillId="12" borderId="20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center"/>
    </xf>
    <xf numFmtId="0" fontId="6" fillId="28" borderId="20" xfId="0" applyFont="1" applyFill="1" applyBorder="1" applyAlignment="1">
      <alignment horizontal="left"/>
    </xf>
    <xf numFmtId="0" fontId="8" fillId="2" borderId="20" xfId="2" applyFont="1" applyFill="1" applyBorder="1" applyAlignment="1">
      <alignment horizontal="center" vertical="center" wrapText="1"/>
    </xf>
    <xf numFmtId="0" fontId="10" fillId="2" borderId="20" xfId="2" applyFont="1" applyFill="1" applyBorder="1" applyAlignment="1">
      <alignment vertical="center" wrapText="1"/>
    </xf>
    <xf numFmtId="0" fontId="12" fillId="2" borderId="20" xfId="0" applyFont="1" applyFill="1" applyBorder="1" applyAlignment="1">
      <alignment vertical="center" wrapText="1"/>
    </xf>
    <xf numFmtId="0" fontId="25" fillId="13" borderId="20" xfId="0" applyFont="1" applyFill="1" applyBorder="1" applyAlignment="1">
      <alignment horizontal="left" vertical="center" wrapText="1"/>
    </xf>
    <xf numFmtId="0" fontId="26" fillId="2" borderId="20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6" fillId="28" borderId="20" xfId="0" applyFont="1" applyFill="1" applyBorder="1"/>
    <xf numFmtId="164" fontId="4" fillId="2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/>
    <xf numFmtId="164" fontId="0" fillId="28" borderId="2" xfId="0" applyNumberFormat="1" applyFill="1" applyBorder="1"/>
    <xf numFmtId="1" fontId="10" fillId="20" borderId="1" xfId="5" applyNumberFormat="1" applyFont="1" applyFill="1" applyBorder="1" applyAlignment="1">
      <alignment horizontal="left"/>
    </xf>
    <xf numFmtId="0" fontId="10" fillId="20" borderId="1" xfId="0" applyFont="1" applyFill="1" applyBorder="1" applyAlignment="1">
      <alignment horizontal="left" vertical="top"/>
    </xf>
    <xf numFmtId="164" fontId="4" fillId="17" borderId="1" xfId="0" applyNumberFormat="1" applyFont="1" applyFill="1" applyBorder="1" applyAlignment="1">
      <alignment horizontal="center" vertical="center"/>
    </xf>
    <xf numFmtId="0" fontId="61" fillId="31" borderId="1" xfId="9" applyBorder="1" applyAlignment="1">
      <alignment horizontal="left"/>
    </xf>
    <xf numFmtId="0" fontId="10" fillId="4" borderId="1" xfId="0" applyFont="1" applyFill="1" applyBorder="1" applyAlignment="1">
      <alignment horizontal="left" vertical="center"/>
    </xf>
    <xf numFmtId="44" fontId="16" fillId="3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top" wrapText="1"/>
    </xf>
    <xf numFmtId="44" fontId="6" fillId="28" borderId="20" xfId="1" applyFont="1" applyFill="1" applyBorder="1" applyAlignment="1">
      <alignment horizontal="left" vertical="top" wrapText="1"/>
    </xf>
    <xf numFmtId="164" fontId="4" fillId="28" borderId="1" xfId="0" applyNumberFormat="1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/>
    </xf>
    <xf numFmtId="0" fontId="6" fillId="21" borderId="0" xfId="0" applyFont="1" applyFill="1" applyAlignment="1">
      <alignment horizontal="left" vertical="center"/>
    </xf>
    <xf numFmtId="167" fontId="10" fillId="21" borderId="1" xfId="0" applyNumberFormat="1" applyFont="1" applyFill="1" applyBorder="1" applyAlignment="1">
      <alignment horizontal="left"/>
    </xf>
    <xf numFmtId="0" fontId="10" fillId="21" borderId="1" xfId="0" applyFont="1" applyFill="1" applyBorder="1" applyAlignment="1">
      <alignment horizontal="left" vertical="center"/>
    </xf>
    <xf numFmtId="0" fontId="10" fillId="21" borderId="1" xfId="0" applyFont="1" applyFill="1" applyBorder="1" applyAlignment="1">
      <alignment horizontal="center"/>
    </xf>
    <xf numFmtId="164" fontId="16" fillId="21" borderId="1" xfId="0" applyNumberFormat="1" applyFont="1" applyFill="1" applyBorder="1" applyAlignment="1">
      <alignment horizontal="center" vertical="center"/>
    </xf>
    <xf numFmtId="166" fontId="16" fillId="21" borderId="1" xfId="6" applyNumberFormat="1" applyFont="1" applyFill="1" applyBorder="1" applyAlignment="1">
      <alignment horizontal="center" vertical="center"/>
    </xf>
    <xf numFmtId="164" fontId="10" fillId="21" borderId="1" xfId="1" applyNumberFormat="1" applyFont="1" applyFill="1" applyBorder="1"/>
    <xf numFmtId="0" fontId="10" fillId="21" borderId="1" xfId="0" applyFont="1" applyFill="1" applyBorder="1" applyAlignment="1">
      <alignment horizontal="left" vertical="top"/>
    </xf>
    <xf numFmtId="0" fontId="10" fillId="21" borderId="1" xfId="0" applyFont="1" applyFill="1" applyBorder="1" applyAlignment="1">
      <alignment horizontal="left"/>
    </xf>
    <xf numFmtId="1" fontId="10" fillId="21" borderId="1" xfId="0" applyNumberFormat="1" applyFont="1" applyFill="1" applyBorder="1" applyAlignment="1">
      <alignment horizontal="left"/>
    </xf>
    <xf numFmtId="167" fontId="10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164" fontId="16" fillId="4" borderId="1" xfId="0" applyNumberFormat="1" applyFont="1" applyFill="1" applyBorder="1" applyAlignment="1">
      <alignment horizontal="center" vertical="center"/>
    </xf>
    <xf numFmtId="166" fontId="16" fillId="4" borderId="1" xfId="6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/>
    <xf numFmtId="0" fontId="10" fillId="4" borderId="20" xfId="0" quotePrefix="1" applyFont="1" applyFill="1" applyBorder="1" applyAlignment="1">
      <alignment horizontal="left"/>
    </xf>
    <xf numFmtId="0" fontId="3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left" vertical="center"/>
    </xf>
    <xf numFmtId="0" fontId="10" fillId="21" borderId="1" xfId="0" applyFont="1" applyFill="1" applyBorder="1"/>
    <xf numFmtId="0" fontId="10" fillId="21" borderId="1" xfId="0" applyFont="1" applyFill="1" applyBorder="1" applyAlignment="1">
      <alignment horizontal="left" vertical="center" wrapText="1"/>
    </xf>
    <xf numFmtId="10" fontId="16" fillId="0" borderId="1" xfId="6" applyNumberFormat="1" applyFont="1" applyFill="1" applyBorder="1" applyAlignment="1">
      <alignment horizontal="center" vertical="center"/>
    </xf>
    <xf numFmtId="10" fontId="16" fillId="21" borderId="1" xfId="6" applyNumberFormat="1" applyFont="1" applyFill="1" applyBorder="1" applyAlignment="1">
      <alignment horizontal="center" vertical="center"/>
    </xf>
    <xf numFmtId="10" fontId="16" fillId="4" borderId="1" xfId="6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9" fillId="21" borderId="1" xfId="3" applyFont="1" applyFill="1" applyBorder="1" applyAlignment="1">
      <alignment horizontal="left" vertical="center" wrapText="1"/>
    </xf>
    <xf numFmtId="49" fontId="9" fillId="21" borderId="1" xfId="0" applyNumberFormat="1" applyFont="1" applyFill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49" fontId="11" fillId="21" borderId="1" xfId="0" applyNumberFormat="1" applyFont="1" applyFill="1" applyBorder="1" applyAlignment="1">
      <alignment vertical="center"/>
    </xf>
    <xf numFmtId="49" fontId="11" fillId="21" borderId="1" xfId="0" applyNumberFormat="1" applyFont="1" applyFill="1" applyBorder="1" applyAlignment="1">
      <alignment horizontal="left" vertical="center"/>
    </xf>
    <xf numFmtId="49" fontId="9" fillId="21" borderId="1" xfId="0" applyNumberFormat="1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6" fillId="28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wrapText="1"/>
    </xf>
    <xf numFmtId="0" fontId="16" fillId="10" borderId="17" xfId="0" applyFont="1" applyFill="1" applyBorder="1" applyAlignment="1">
      <alignment horizontal="left" wrapText="1"/>
    </xf>
    <xf numFmtId="0" fontId="16" fillId="12" borderId="1" xfId="0" applyFont="1" applyFill="1" applyBorder="1" applyAlignment="1">
      <alignment horizontal="center" vertical="center"/>
    </xf>
    <xf numFmtId="0" fontId="16" fillId="28" borderId="20" xfId="0" applyFont="1" applyFill="1" applyBorder="1" applyAlignment="1">
      <alignment horizontal="center" vertical="center"/>
    </xf>
    <xf numFmtId="0" fontId="16" fillId="28" borderId="2" xfId="0" applyFont="1" applyFill="1" applyBorder="1" applyAlignment="1">
      <alignment horizontal="center" vertical="center"/>
    </xf>
    <xf numFmtId="164" fontId="16" fillId="28" borderId="20" xfId="0" applyNumberFormat="1" applyFont="1" applyFill="1" applyBorder="1" applyAlignment="1">
      <alignment horizontal="center" vertical="center"/>
    </xf>
    <xf numFmtId="164" fontId="16" fillId="28" borderId="2" xfId="0" applyNumberFormat="1" applyFont="1" applyFill="1" applyBorder="1" applyAlignment="1">
      <alignment horizontal="center" vertical="center"/>
    </xf>
    <xf numFmtId="17" fontId="42" fillId="12" borderId="20" xfId="0" applyNumberFormat="1" applyFont="1" applyFill="1" applyBorder="1" applyAlignment="1">
      <alignment horizontal="center" vertical="center"/>
    </xf>
    <xf numFmtId="17" fontId="42" fillId="12" borderId="24" xfId="0" applyNumberFormat="1" applyFont="1" applyFill="1" applyBorder="1" applyAlignment="1">
      <alignment horizontal="center" vertical="center"/>
    </xf>
    <xf numFmtId="17" fontId="42" fillId="12" borderId="2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164" fontId="10" fillId="0" borderId="10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6" fillId="21" borderId="20" xfId="0" applyFont="1" applyFill="1" applyBorder="1" applyAlignment="1">
      <alignment horizontal="center" vertical="center"/>
    </xf>
    <xf numFmtId="0" fontId="16" fillId="21" borderId="24" xfId="0" applyFont="1" applyFill="1" applyBorder="1" applyAlignment="1">
      <alignment horizontal="center" vertical="center"/>
    </xf>
    <xf numFmtId="0" fontId="16" fillId="21" borderId="2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16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25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164" fontId="10" fillId="22" borderId="10" xfId="0" applyNumberFormat="1" applyFont="1" applyFill="1" applyBorder="1" applyAlignment="1">
      <alignment horizontal="center"/>
    </xf>
    <xf numFmtId="164" fontId="10" fillId="22" borderId="11" xfId="0" applyNumberFormat="1" applyFont="1" applyFill="1" applyBorder="1" applyAlignment="1">
      <alignment horizontal="center"/>
    </xf>
    <xf numFmtId="0" fontId="16" fillId="0" borderId="2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left" wrapText="1"/>
    </xf>
    <xf numFmtId="0" fontId="10" fillId="10" borderId="9" xfId="0" applyFont="1" applyFill="1" applyBorder="1" applyAlignment="1">
      <alignment horizontal="left" wrapText="1"/>
    </xf>
    <xf numFmtId="164" fontId="10" fillId="20" borderId="10" xfId="0" applyNumberFormat="1" applyFont="1" applyFill="1" applyBorder="1" applyAlignment="1">
      <alignment horizontal="center"/>
    </xf>
    <xf numFmtId="164" fontId="10" fillId="20" borderId="11" xfId="0" applyNumberFormat="1" applyFont="1" applyFill="1" applyBorder="1" applyAlignment="1">
      <alignment horizontal="center"/>
    </xf>
    <xf numFmtId="164" fontId="10" fillId="17" borderId="10" xfId="0" applyNumberFormat="1" applyFont="1" applyFill="1" applyBorder="1" applyAlignment="1">
      <alignment vertical="center"/>
    </xf>
    <xf numFmtId="164" fontId="10" fillId="17" borderId="11" xfId="0" applyNumberFormat="1" applyFont="1" applyFill="1" applyBorder="1" applyAlignment="1">
      <alignment vertical="center"/>
    </xf>
    <xf numFmtId="164" fontId="10" fillId="0" borderId="10" xfId="0" applyNumberFormat="1" applyFont="1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0">
    <cellStyle name="Bom" xfId="9" builtinId="26"/>
    <cellStyle name="Moeda" xfId="1" builtinId="4"/>
    <cellStyle name="Moeda 2" xfId="4" xr:uid="{D010F7A2-426E-4F52-928C-CA72F5FEB58C}"/>
    <cellStyle name="Normal" xfId="0" builtinId="0"/>
    <cellStyle name="Normal 2" xfId="7" xr:uid="{3E311AB7-66B7-473D-8F5C-8D91A163A65E}"/>
    <cellStyle name="Porcentagem" xfId="6" builtinId="5"/>
    <cellStyle name="S16" xfId="3" xr:uid="{00000000-0005-0000-0000-000002000000}"/>
    <cellStyle name="S17" xfId="2" xr:uid="{00000000-0005-0000-0000-000003000000}"/>
    <cellStyle name="Título 4" xfId="8" builtinId="19"/>
    <cellStyle name="Vírgula" xfId="5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CC"/>
      <color rgb="FFC2E820"/>
      <color rgb="FF009999"/>
      <color rgb="FF00A9A5"/>
      <color rgb="FF66FF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onardo Daros" id="{7ED021D0-AF70-44F4-8B5A-20135AA86B27}" userId="4f9d5c715c185684" providerId="Windows Live"/>
  <person displayName="TI Daroscorp" id="{04FA75A9-8A60-408D-9D9F-C845C43FEB2B}" userId="d43b4b861828ad16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6" dT="2025-01-24T20:54:39.48" personId="{04FA75A9-8A60-408D-9D9F-C845C43FEB2B}" id="{0639C2A0-C64D-40E9-ADDE-3F326F337301}">
    <text xml:space="preserve">200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1" dT="2023-09-19T15:14:29.58" personId="{7ED021D0-AF70-44F4-8B5A-20135AA86B27}" id="{BF0DA813-10D7-4915-97A5-8DD789A1E922}">
    <text>L3P-PS940-100</text>
  </threadedComment>
  <threadedComment ref="B51" dT="2023-05-24T06:02:29.28" personId="{7ED021D0-AF70-44F4-8B5A-20135AA86B27}" id="{7FD7D66C-1680-46AD-80A2-EE02B829E5CC}">
    <text>Plastico ABS é inferior e não tao forte quanto o PPS</text>
  </threadedComment>
  <threadedComment ref="C57" dT="2024-06-13T09:50:43.33" personId="{7ED021D0-AF70-44F4-8B5A-20135AA86B27}" id="{FC20D786-9C9D-4956-96C6-6FAF15796D14}">
    <text xml:space="preserve">Retirar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35" dT="2023-09-19T15:14:29.58" personId="{7ED021D0-AF70-44F4-8B5A-20135AA86B27}" id="{A4F573BE-083B-4F0F-AB18-7E8ADD2EB569}">
    <text>L3P-PS940-100</text>
  </threadedComment>
  <threadedComment ref="B135" dT="2023-05-24T06:02:29.28" personId="{7ED021D0-AF70-44F4-8B5A-20135AA86B27}" id="{9E699A53-9F09-4376-B50E-AC86837FF9B5}">
    <text>Plastico ABS é inferior e não tao forte quanto o PPS</text>
  </threadedComment>
  <threadedComment ref="C144" dT="2024-06-13T09:50:43.33" personId="{7ED021D0-AF70-44F4-8B5A-20135AA86B27}" id="{15C3221B-AB16-44D5-B4F3-1FF318A3B52B}">
    <text xml:space="preserve">Retirar </text>
  </threadedComment>
  <threadedComment ref="A169" dT="2024-07-08T17:58:59.58" personId="{7ED021D0-AF70-44F4-8B5A-20135AA86B27}" id="{9D830879-A893-4EC5-9603-F95B0B6C9D7E}">
    <text>Jaco alterou dia 08/07 - estava antes 42003 que é era o mesmo da placa pro4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34" dT="2023-09-19T15:14:29.58" personId="{7ED021D0-AF70-44F4-8B5A-20135AA86B27}" id="{7C6A073C-4D5B-4045-B9AC-3BDA99382F81}">
    <text>L3P-PS940-100</text>
  </threadedComment>
  <threadedComment ref="D145" dT="2023-09-19T15:14:29.58" personId="{7ED021D0-AF70-44F4-8B5A-20135AA86B27}" id="{859B758D-2D3A-43B7-A81C-6FC25A464137}">
    <text>L3P-PS940-100</text>
  </threadedComment>
  <threadedComment ref="B169" dT="2024-07-08T17:58:59.58" personId="{7ED021D0-AF70-44F4-8B5A-20135AA86B27}" id="{3C23C0BC-7AF5-4859-A634-019ADEA93350}">
    <text>Jaco alterou dia 08/07 - estava antes 42003 que é era o mesmo da placa pro4</text>
  </threadedComment>
  <threadedComment ref="D187" dT="2024-07-08T17:58:59.58" personId="{7ED021D0-AF70-44F4-8B5A-20135AA86B27}" id="{D56BA27D-2A37-4774-9D9D-190EE7862865}">
    <text>Jaco alterou dia 08/07 - estava antes 42003 que é era o mesmo da placa pro4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92D050"/>
    <pageSetUpPr fitToPage="1"/>
  </sheetPr>
  <dimension ref="A1:OE372"/>
  <sheetViews>
    <sheetView tabSelected="1" zoomScale="89" zoomScaleNormal="89" zoomScaleSheetLayoutView="50" workbookViewId="0">
      <selection activeCell="W11" sqref="W11"/>
    </sheetView>
  </sheetViews>
  <sheetFormatPr defaultRowHeight="15" x14ac:dyDescent="0.25"/>
  <cols>
    <col min="1" max="1" width="5.28515625" style="28" customWidth="1"/>
    <col min="2" max="2" width="24.42578125" customWidth="1"/>
    <col min="3" max="3" width="20.28515625" customWidth="1"/>
    <col min="4" max="4" width="89.7109375" customWidth="1"/>
    <col min="5" max="5" width="18.7109375" customWidth="1"/>
    <col min="6" max="6" width="21.85546875" customWidth="1"/>
    <col min="7" max="7" width="12.28515625" style="39" customWidth="1"/>
    <col min="8" max="8" width="23" customWidth="1"/>
    <col min="9" max="9" width="18.42578125" customWidth="1"/>
    <col min="10" max="10" width="21.42578125" customWidth="1"/>
    <col min="11" max="11" width="19.5703125" style="49" customWidth="1"/>
    <col min="12" max="12" width="18.7109375" style="49" customWidth="1"/>
    <col min="13" max="13" width="19.5703125" style="49" customWidth="1"/>
    <col min="14" max="14" width="21.5703125" style="49" customWidth="1"/>
    <col min="15" max="15" width="14.5703125" style="28" customWidth="1"/>
    <col min="16" max="17" width="14.5703125" customWidth="1"/>
    <col min="18" max="18" width="21" customWidth="1"/>
    <col min="19" max="19" width="17.42578125" customWidth="1"/>
    <col min="20" max="20" width="19" customWidth="1"/>
    <col min="21" max="22" width="16.7109375" customWidth="1"/>
    <col min="23" max="23" width="25.7109375" customWidth="1"/>
    <col min="24" max="25" width="16.7109375" customWidth="1"/>
    <col min="26" max="26" width="20.7109375" customWidth="1"/>
    <col min="27" max="27" width="23.5703125" customWidth="1"/>
    <col min="28" max="29" width="22.7109375" customWidth="1"/>
    <col min="30" max="30" width="21.85546875" customWidth="1"/>
    <col min="31" max="31" width="8.85546875" style="28" customWidth="1"/>
    <col min="32" max="34" width="9.140625" style="28" customWidth="1"/>
    <col min="35" max="395" width="9.140625" style="28"/>
  </cols>
  <sheetData>
    <row r="1" spans="1:34" ht="40.9" customHeight="1" x14ac:dyDescent="0.25">
      <c r="A1" s="135"/>
      <c r="B1" s="433" t="s">
        <v>1011</v>
      </c>
      <c r="C1" s="433"/>
      <c r="D1" s="434" t="s">
        <v>569</v>
      </c>
      <c r="E1" s="435"/>
      <c r="F1" s="436" t="s">
        <v>0</v>
      </c>
      <c r="G1" s="437"/>
      <c r="H1" s="438">
        <v>46235</v>
      </c>
      <c r="I1" s="439"/>
      <c r="J1" s="440"/>
      <c r="K1" s="139"/>
      <c r="L1" s="139"/>
      <c r="M1" s="139"/>
      <c r="N1" s="139"/>
      <c r="O1" s="140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3"/>
      <c r="AF1" s="133"/>
      <c r="AG1" s="133"/>
      <c r="AH1" s="133"/>
    </row>
    <row r="2" spans="1:34" ht="19.149999999999999" customHeight="1" x14ac:dyDescent="0.25">
      <c r="A2" s="135"/>
      <c r="B2" s="430" t="s">
        <v>1</v>
      </c>
      <c r="C2" s="430"/>
      <c r="D2" s="142"/>
      <c r="E2" s="254" t="s">
        <v>2</v>
      </c>
      <c r="F2" s="441"/>
      <c r="G2" s="441"/>
      <c r="H2" s="441"/>
      <c r="I2" s="441"/>
      <c r="J2" s="441"/>
      <c r="K2" s="139"/>
      <c r="L2" s="139"/>
      <c r="M2" s="139"/>
      <c r="N2" s="139"/>
      <c r="O2" s="140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3"/>
      <c r="AF2" s="133"/>
      <c r="AG2" s="133"/>
      <c r="AH2" s="133"/>
    </row>
    <row r="3" spans="1:34" ht="19.149999999999999" customHeight="1" x14ac:dyDescent="0.25">
      <c r="A3" s="135"/>
      <c r="B3" s="430" t="s">
        <v>3</v>
      </c>
      <c r="C3" s="430"/>
      <c r="D3" s="143"/>
      <c r="E3" s="254" t="s">
        <v>4</v>
      </c>
      <c r="F3" s="429"/>
      <c r="G3" s="429"/>
      <c r="H3" s="429"/>
      <c r="I3" s="429"/>
      <c r="J3" s="429"/>
      <c r="K3" s="139"/>
      <c r="L3" s="139"/>
      <c r="M3" s="139"/>
      <c r="N3" s="139"/>
      <c r="O3" s="140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3"/>
      <c r="AF3" s="133"/>
      <c r="AG3" s="133"/>
      <c r="AH3" s="133"/>
    </row>
    <row r="4" spans="1:34" ht="19.149999999999999" customHeight="1" x14ac:dyDescent="0.25">
      <c r="A4" s="135"/>
      <c r="B4" s="430" t="s">
        <v>5</v>
      </c>
      <c r="C4" s="430"/>
      <c r="D4" s="143"/>
      <c r="E4" s="254" t="s">
        <v>283</v>
      </c>
      <c r="F4" s="429"/>
      <c r="G4" s="429"/>
      <c r="H4" s="429"/>
      <c r="I4" s="429"/>
      <c r="J4" s="429"/>
      <c r="K4" s="139"/>
      <c r="L4" s="139"/>
      <c r="M4" s="139"/>
      <c r="N4" s="139"/>
      <c r="O4" s="140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3"/>
      <c r="AF4" s="133"/>
      <c r="AG4" s="133"/>
      <c r="AH4" s="133"/>
    </row>
    <row r="5" spans="1:34" ht="19.149999999999999" customHeight="1" x14ac:dyDescent="0.25">
      <c r="A5" s="135"/>
      <c r="B5" s="253" t="s">
        <v>282</v>
      </c>
      <c r="C5" s="253"/>
      <c r="D5" s="143"/>
      <c r="E5" s="254" t="s">
        <v>608</v>
      </c>
      <c r="F5" s="62"/>
      <c r="G5" s="144"/>
      <c r="H5" s="62"/>
      <c r="I5" s="62"/>
      <c r="J5" s="62"/>
      <c r="K5" s="139"/>
      <c r="L5" s="139"/>
      <c r="M5" s="139"/>
      <c r="N5" s="139"/>
      <c r="O5" s="140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3"/>
      <c r="AF5" s="133"/>
      <c r="AG5" s="133"/>
      <c r="AH5" s="133"/>
    </row>
    <row r="6" spans="1:34" ht="19.149999999999999" customHeight="1" x14ac:dyDescent="0.25">
      <c r="A6" s="135"/>
      <c r="B6" s="430" t="s">
        <v>6</v>
      </c>
      <c r="C6" s="430"/>
      <c r="D6" s="143"/>
      <c r="E6" s="254" t="s">
        <v>7</v>
      </c>
      <c r="F6" s="429"/>
      <c r="G6" s="429"/>
      <c r="H6" s="429"/>
      <c r="I6" s="429"/>
      <c r="J6" s="429"/>
      <c r="K6" s="139"/>
      <c r="L6" s="139"/>
      <c r="M6" s="139"/>
      <c r="N6" s="139"/>
      <c r="O6" s="140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3"/>
      <c r="AF6" s="133"/>
      <c r="AG6" s="133"/>
      <c r="AH6" s="133"/>
    </row>
    <row r="7" spans="1:34" ht="19.149999999999999" customHeight="1" x14ac:dyDescent="0.25">
      <c r="A7" s="135"/>
      <c r="B7" s="430" t="s">
        <v>8</v>
      </c>
      <c r="C7" s="430"/>
      <c r="D7" s="143"/>
      <c r="E7" s="254" t="s">
        <v>9</v>
      </c>
      <c r="F7" s="429"/>
      <c r="G7" s="429"/>
      <c r="H7" s="429"/>
      <c r="I7" s="429"/>
      <c r="J7" s="429"/>
      <c r="K7" s="139"/>
      <c r="L7" s="139"/>
      <c r="M7" s="139"/>
      <c r="N7" s="139"/>
      <c r="O7" s="140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3"/>
      <c r="AF7" s="133"/>
      <c r="AG7" s="133"/>
      <c r="AH7" s="133"/>
    </row>
    <row r="8" spans="1:34" ht="19.149999999999999" hidden="1" customHeight="1" x14ac:dyDescent="0.25">
      <c r="A8" s="135"/>
      <c r="B8" s="431" t="s">
        <v>10</v>
      </c>
      <c r="C8" s="432"/>
      <c r="D8" s="145" t="s">
        <v>572</v>
      </c>
      <c r="E8" s="139"/>
      <c r="F8" s="139"/>
      <c r="G8" s="146"/>
      <c r="H8" s="139"/>
      <c r="I8" s="139"/>
      <c r="J8" s="139"/>
      <c r="K8" s="139"/>
      <c r="L8" s="139"/>
      <c r="M8" s="139"/>
      <c r="N8" s="139"/>
      <c r="O8" s="140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3"/>
      <c r="AF8" s="133"/>
      <c r="AG8" s="133"/>
      <c r="AH8" s="133"/>
    </row>
    <row r="9" spans="1:34" ht="19.149999999999999" customHeight="1" x14ac:dyDescent="0.25">
      <c r="A9" s="135"/>
      <c r="B9" s="255" t="s">
        <v>11</v>
      </c>
      <c r="C9" s="444"/>
      <c r="D9" s="445"/>
      <c r="E9" s="139"/>
      <c r="F9" s="139"/>
      <c r="G9" s="147"/>
      <c r="H9" s="147"/>
      <c r="I9" s="147"/>
      <c r="J9" s="147"/>
      <c r="K9" s="139"/>
      <c r="L9" s="139"/>
      <c r="M9" s="139"/>
      <c r="N9" s="139"/>
      <c r="O9" s="140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3"/>
      <c r="AF9" s="133"/>
      <c r="AG9" s="133"/>
      <c r="AH9" s="133"/>
    </row>
    <row r="10" spans="1:34" ht="19.899999999999999" customHeight="1" thickBot="1" x14ac:dyDescent="0.3">
      <c r="A10" s="135"/>
      <c r="B10" s="148"/>
      <c r="C10" s="149"/>
      <c r="D10" s="149"/>
      <c r="E10" s="139"/>
      <c r="F10" s="139"/>
      <c r="G10" s="147"/>
      <c r="H10" s="147"/>
      <c r="I10" s="147"/>
      <c r="J10" s="147"/>
      <c r="K10" s="139"/>
      <c r="L10" s="139"/>
      <c r="M10" s="139"/>
      <c r="N10" s="139"/>
      <c r="O10" s="140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3"/>
      <c r="AF10" s="133"/>
      <c r="AG10" s="133"/>
      <c r="AH10" s="133"/>
    </row>
    <row r="11" spans="1:34" ht="15.75" thickBot="1" x14ac:dyDescent="0.3">
      <c r="A11" s="135"/>
      <c r="B11" s="139"/>
      <c r="C11" s="139"/>
      <c r="D11" s="139"/>
      <c r="E11" s="139"/>
      <c r="F11" s="446" t="s">
        <v>575</v>
      </c>
      <c r="G11" s="447"/>
      <c r="H11" s="448"/>
      <c r="I11" s="150"/>
      <c r="J11" s="139"/>
      <c r="K11" s="139"/>
      <c r="L11" s="139"/>
      <c r="M11" s="139"/>
      <c r="N11" s="139"/>
      <c r="O11" s="140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3"/>
      <c r="AF11" s="133"/>
      <c r="AG11" s="133"/>
      <c r="AH11" s="133"/>
    </row>
    <row r="12" spans="1:34" ht="24" customHeight="1" thickBot="1" x14ac:dyDescent="0.3">
      <c r="A12" s="135"/>
      <c r="B12" s="151"/>
      <c r="C12" s="139"/>
      <c r="D12" s="139"/>
      <c r="E12" s="139"/>
      <c r="F12" s="256" t="s">
        <v>574</v>
      </c>
      <c r="G12" s="442">
        <f>E201</f>
        <v>0</v>
      </c>
      <c r="H12" s="443"/>
      <c r="I12" s="152"/>
      <c r="J12" s="139"/>
      <c r="K12" s="139"/>
      <c r="L12" s="139"/>
      <c r="M12" s="139"/>
      <c r="N12" s="139"/>
      <c r="O12" s="140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3"/>
      <c r="AF12" s="133"/>
      <c r="AG12" s="133"/>
      <c r="AH12" s="133"/>
    </row>
    <row r="13" spans="1:34" ht="24" customHeight="1" thickBot="1" x14ac:dyDescent="0.3">
      <c r="A13" s="135"/>
      <c r="B13" s="151"/>
      <c r="C13" s="139"/>
      <c r="D13" s="139"/>
      <c r="E13" s="139"/>
      <c r="F13" s="256" t="s">
        <v>596</v>
      </c>
      <c r="G13" s="442">
        <f>E203</f>
        <v>0</v>
      </c>
      <c r="H13" s="443"/>
      <c r="I13" s="152"/>
      <c r="J13" s="139"/>
      <c r="K13" s="139"/>
      <c r="L13" s="139"/>
      <c r="M13" s="139"/>
      <c r="N13" s="139"/>
      <c r="O13" s="140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3"/>
      <c r="AF13" s="133"/>
      <c r="AG13" s="133"/>
      <c r="AH13" s="133"/>
    </row>
    <row r="14" spans="1:34" ht="24" customHeight="1" x14ac:dyDescent="0.25">
      <c r="A14" s="135"/>
      <c r="B14" s="298" t="s">
        <v>1028</v>
      </c>
      <c r="C14" s="139"/>
      <c r="D14" s="139"/>
      <c r="E14" s="139"/>
      <c r="F14" s="139"/>
      <c r="G14" s="153"/>
      <c r="H14" s="153"/>
      <c r="I14" s="153"/>
      <c r="J14" s="154"/>
      <c r="K14" s="139"/>
      <c r="L14" s="139"/>
      <c r="M14" s="139"/>
      <c r="N14" s="139"/>
      <c r="O14" s="140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3"/>
      <c r="AF14" s="133"/>
      <c r="AG14" s="133"/>
      <c r="AH14" s="133"/>
    </row>
    <row r="15" spans="1:34" ht="24" customHeight="1" x14ac:dyDescent="0.25">
      <c r="A15" s="135"/>
      <c r="B15" s="151"/>
      <c r="C15" s="155"/>
      <c r="D15" s="154"/>
      <c r="E15" s="156"/>
      <c r="F15" s="149"/>
      <c r="G15" s="149"/>
      <c r="H15" s="149"/>
      <c r="I15" s="149"/>
      <c r="J15" s="149"/>
      <c r="K15" s="139"/>
      <c r="L15" s="139"/>
      <c r="M15" s="139"/>
      <c r="N15" s="139"/>
      <c r="O15" s="140"/>
      <c r="P15" s="449" t="s">
        <v>880</v>
      </c>
      <c r="Q15" s="450"/>
      <c r="R15" s="450"/>
      <c r="S15" s="450"/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1"/>
      <c r="AE15" s="133"/>
      <c r="AF15" s="133"/>
      <c r="AG15" s="133"/>
      <c r="AH15" s="133"/>
    </row>
    <row r="16" spans="1:34" ht="15" customHeight="1" x14ac:dyDescent="0.25">
      <c r="A16" s="135"/>
      <c r="B16" s="157" t="s">
        <v>12</v>
      </c>
      <c r="C16" s="158" t="s">
        <v>13</v>
      </c>
      <c r="D16" s="159" t="s">
        <v>25</v>
      </c>
      <c r="E16" s="160" t="s">
        <v>15</v>
      </c>
      <c r="F16" s="161" t="s">
        <v>607</v>
      </c>
      <c r="G16" s="162" t="s">
        <v>500</v>
      </c>
      <c r="H16" s="161" t="s">
        <v>604</v>
      </c>
      <c r="I16" s="161" t="s">
        <v>615</v>
      </c>
      <c r="J16" s="161" t="s">
        <v>16</v>
      </c>
      <c r="K16" s="161" t="s">
        <v>606</v>
      </c>
      <c r="L16" s="162" t="s">
        <v>908</v>
      </c>
      <c r="M16" s="161" t="s">
        <v>615</v>
      </c>
      <c r="N16" s="161" t="s">
        <v>16</v>
      </c>
      <c r="O16" s="140"/>
      <c r="P16" s="161" t="s">
        <v>853</v>
      </c>
      <c r="Q16" s="161" t="s">
        <v>606</v>
      </c>
      <c r="R16" s="162" t="s">
        <v>909</v>
      </c>
      <c r="S16" s="162" t="s">
        <v>891</v>
      </c>
      <c r="T16" s="162" t="s">
        <v>892</v>
      </c>
      <c r="U16" s="163" t="s">
        <v>894</v>
      </c>
      <c r="V16" s="162" t="s">
        <v>870</v>
      </c>
      <c r="W16" s="163" t="s">
        <v>895</v>
      </c>
      <c r="X16" s="162" t="s">
        <v>893</v>
      </c>
      <c r="Y16" s="161" t="s">
        <v>596</v>
      </c>
      <c r="Z16" s="161" t="s">
        <v>861</v>
      </c>
      <c r="AA16" s="161" t="s">
        <v>860</v>
      </c>
      <c r="AB16" s="161" t="s">
        <v>859</v>
      </c>
      <c r="AC16" s="161" t="s">
        <v>858</v>
      </c>
      <c r="AD16" s="161" t="s">
        <v>874</v>
      </c>
      <c r="AE16" s="133"/>
      <c r="AF16" s="133"/>
      <c r="AG16" s="133"/>
      <c r="AH16" s="133"/>
    </row>
    <row r="17" spans="1:34" ht="15" customHeight="1" x14ac:dyDescent="0.25">
      <c r="A17" s="135"/>
      <c r="B17" s="382" t="s">
        <v>420</v>
      </c>
      <c r="C17" s="177">
        <v>7898670766103</v>
      </c>
      <c r="D17" s="177" t="s">
        <v>911</v>
      </c>
      <c r="E17" s="300">
        <v>0</v>
      </c>
      <c r="F17" s="301">
        <f>IF($D$8="A VISTA",Planilha2!B3,Planilha2!B3)</f>
        <v>699</v>
      </c>
      <c r="G17" s="302">
        <v>0.13</v>
      </c>
      <c r="H17" s="301">
        <f>IFERROR(F17*(1+G17),#REF!)</f>
        <v>789.86999999999989</v>
      </c>
      <c r="I17" s="301">
        <f>F17*E17</f>
        <v>0</v>
      </c>
      <c r="J17" s="303">
        <f t="shared" ref="J17:J26" si="0">SUM(E17*H17)</f>
        <v>0</v>
      </c>
      <c r="K17" s="170">
        <f>Planilha2!C3</f>
        <v>664.05</v>
      </c>
      <c r="L17" s="171">
        <f t="shared" ref="L17:L27" si="1">K17*G17+K17</f>
        <v>750.37649999999996</v>
      </c>
      <c r="M17" s="170">
        <f t="shared" ref="M17:M27" si="2">K17*E17</f>
        <v>0</v>
      </c>
      <c r="N17" s="170">
        <f t="shared" ref="N17:N27" si="3">L17*E17</f>
        <v>0</v>
      </c>
      <c r="O17" s="140"/>
      <c r="P17" s="170">
        <f>F17</f>
        <v>699</v>
      </c>
      <c r="Q17" s="170">
        <f t="shared" ref="Q17:Q26" si="4">K17</f>
        <v>664.05</v>
      </c>
      <c r="R17" s="170">
        <f t="shared" ref="R17:R27" si="5">F17</f>
        <v>699</v>
      </c>
      <c r="S17" s="170">
        <f t="shared" ref="S17:S22" si="6">H17</f>
        <v>789.86999999999989</v>
      </c>
      <c r="T17" s="172">
        <f t="shared" ref="T17:T22" si="7">J17</f>
        <v>0</v>
      </c>
      <c r="U17" s="172">
        <f t="shared" ref="U17:U22" si="8">R17*5%</f>
        <v>34.950000000000003</v>
      </c>
      <c r="V17" s="172">
        <f>R17-U17</f>
        <v>664.05</v>
      </c>
      <c r="W17" s="172">
        <f t="shared" ref="W17:W26" si="9">S17*5%</f>
        <v>39.493499999999997</v>
      </c>
      <c r="X17" s="172">
        <f>L17</f>
        <v>750.37649999999996</v>
      </c>
      <c r="Y17" s="170">
        <f t="shared" ref="Y17:Y27" si="10">X17*E17</f>
        <v>0</v>
      </c>
      <c r="Z17" s="170">
        <v>0</v>
      </c>
      <c r="AA17" s="170">
        <f>Z19*5%</f>
        <v>0</v>
      </c>
      <c r="AB17" s="170">
        <f t="shared" ref="AB17:AB27" si="11">S17*E17</f>
        <v>0</v>
      </c>
      <c r="AC17" s="170">
        <f t="shared" ref="AC17:AC27" si="12">X17*E17</f>
        <v>0</v>
      </c>
      <c r="AD17" s="173">
        <v>0</v>
      </c>
      <c r="AE17" s="133"/>
      <c r="AF17" s="133"/>
      <c r="AG17" s="133"/>
      <c r="AH17" s="133"/>
    </row>
    <row r="18" spans="1:34" ht="15" customHeight="1" x14ac:dyDescent="0.25">
      <c r="A18" s="135"/>
      <c r="B18" s="391" t="s">
        <v>1250</v>
      </c>
      <c r="C18" s="392">
        <v>7898670767308</v>
      </c>
      <c r="D18" s="393" t="s">
        <v>1236</v>
      </c>
      <c r="E18" s="394">
        <v>0</v>
      </c>
      <c r="F18" s="395">
        <f>IF($D$8="A VISTA",Planilha2!B12,Planilha2!B12)</f>
        <v>940.5</v>
      </c>
      <c r="G18" s="396">
        <v>0.13</v>
      </c>
      <c r="H18" s="395">
        <f>IFERROR(F18*(1+G18),#REF!)</f>
        <v>1062.7649999999999</v>
      </c>
      <c r="I18" s="395"/>
      <c r="J18" s="397">
        <f>SUM(E18*H18)</f>
        <v>0</v>
      </c>
      <c r="K18" s="292">
        <f>Planilha2!C12</f>
        <v>893.47500000000002</v>
      </c>
      <c r="L18" s="293">
        <f t="shared" si="1"/>
        <v>1009.62675</v>
      </c>
      <c r="M18" s="292">
        <f t="shared" si="2"/>
        <v>0</v>
      </c>
      <c r="N18" s="292">
        <f t="shared" si="3"/>
        <v>0</v>
      </c>
      <c r="O18" s="140"/>
      <c r="P18" s="170"/>
      <c r="Q18" s="170"/>
      <c r="R18" s="292">
        <f t="shared" si="5"/>
        <v>940.5</v>
      </c>
      <c r="S18" s="292">
        <f t="shared" si="6"/>
        <v>1062.7649999999999</v>
      </c>
      <c r="T18" s="294">
        <f t="shared" si="7"/>
        <v>0</v>
      </c>
      <c r="U18" s="294">
        <f>R18*5%</f>
        <v>47.025000000000006</v>
      </c>
      <c r="V18" s="294">
        <f>R18-U18</f>
        <v>893.47500000000002</v>
      </c>
      <c r="W18" s="294">
        <f>S18*5%</f>
        <v>53.138249999999999</v>
      </c>
      <c r="X18" s="294">
        <f>L18</f>
        <v>1009.62675</v>
      </c>
      <c r="Y18" s="292">
        <f t="shared" si="10"/>
        <v>0</v>
      </c>
      <c r="Z18" s="292">
        <f>S18*E18</f>
        <v>0</v>
      </c>
      <c r="AA18" s="292">
        <f>Z18*5%</f>
        <v>0</v>
      </c>
      <c r="AB18" s="292">
        <f t="shared" si="11"/>
        <v>0</v>
      </c>
      <c r="AC18" s="292">
        <f t="shared" si="12"/>
        <v>0</v>
      </c>
      <c r="AD18" s="173"/>
      <c r="AE18" s="133"/>
      <c r="AF18" s="133"/>
      <c r="AG18" s="133"/>
      <c r="AH18" s="133"/>
    </row>
    <row r="19" spans="1:34" ht="15" customHeight="1" x14ac:dyDescent="0.25">
      <c r="A19" s="135"/>
      <c r="B19" s="382" t="s">
        <v>888</v>
      </c>
      <c r="C19" s="329">
        <v>7898670766110</v>
      </c>
      <c r="D19" s="177" t="s">
        <v>1242</v>
      </c>
      <c r="E19" s="300">
        <v>0</v>
      </c>
      <c r="F19" s="301">
        <f>IF($D$8="A VISTA",Planilha2!B4,Planilha2!B4)</f>
        <v>1251</v>
      </c>
      <c r="G19" s="302">
        <v>0.13</v>
      </c>
      <c r="H19" s="301">
        <f>IFERROR(F19*(1+G19),#REF!)</f>
        <v>1413.6299999999999</v>
      </c>
      <c r="I19" s="301">
        <f>F19*E19</f>
        <v>0</v>
      </c>
      <c r="J19" s="303">
        <f t="shared" si="0"/>
        <v>0</v>
      </c>
      <c r="K19" s="170">
        <f>Planilha2!C4</f>
        <v>1188.45</v>
      </c>
      <c r="L19" s="171">
        <f t="shared" si="1"/>
        <v>1342.9485</v>
      </c>
      <c r="M19" s="170">
        <f t="shared" si="2"/>
        <v>0</v>
      </c>
      <c r="N19" s="170">
        <f t="shared" si="3"/>
        <v>0</v>
      </c>
      <c r="O19" s="140"/>
      <c r="P19" s="170">
        <f>F19</f>
        <v>1251</v>
      </c>
      <c r="Q19" s="170">
        <f t="shared" si="4"/>
        <v>1188.45</v>
      </c>
      <c r="R19" s="170">
        <f t="shared" si="5"/>
        <v>1251</v>
      </c>
      <c r="S19" s="170">
        <f t="shared" si="6"/>
        <v>1413.6299999999999</v>
      </c>
      <c r="T19" s="172">
        <f t="shared" si="7"/>
        <v>0</v>
      </c>
      <c r="U19" s="172">
        <f t="shared" si="8"/>
        <v>62.550000000000004</v>
      </c>
      <c r="V19" s="172">
        <f t="shared" ref="V19:V33" si="13">R19-U19</f>
        <v>1188.45</v>
      </c>
      <c r="W19" s="172">
        <f t="shared" si="9"/>
        <v>70.6815</v>
      </c>
      <c r="X19" s="172">
        <f>L19</f>
        <v>1342.9485</v>
      </c>
      <c r="Y19" s="170">
        <f t="shared" si="10"/>
        <v>0</v>
      </c>
      <c r="Z19" s="170">
        <v>0</v>
      </c>
      <c r="AA19" s="170">
        <f>Z20*5%</f>
        <v>0</v>
      </c>
      <c r="AB19" s="170">
        <f t="shared" si="11"/>
        <v>0</v>
      </c>
      <c r="AC19" s="170">
        <f t="shared" si="12"/>
        <v>0</v>
      </c>
      <c r="AD19" s="173">
        <f>X19-AB19</f>
        <v>1342.9485</v>
      </c>
      <c r="AE19" s="133"/>
      <c r="AF19" s="133"/>
      <c r="AG19" s="133"/>
      <c r="AH19" s="133"/>
    </row>
    <row r="20" spans="1:34" ht="15" customHeight="1" x14ac:dyDescent="0.25">
      <c r="A20" s="135"/>
      <c r="B20" s="398" t="s">
        <v>419</v>
      </c>
      <c r="C20" s="400">
        <v>7898670766127</v>
      </c>
      <c r="D20" s="400" t="s">
        <v>912</v>
      </c>
      <c r="E20" s="394">
        <v>0</v>
      </c>
      <c r="F20" s="395">
        <f>IF($D$8="A VISTA",Planilha2!B5,Planilha2!B5)</f>
        <v>479.61</v>
      </c>
      <c r="G20" s="396">
        <v>0.13</v>
      </c>
      <c r="H20" s="395">
        <f>IFERROR(F20*(1+G20),#REF!)</f>
        <v>541.95929999999998</v>
      </c>
      <c r="I20" s="395">
        <f t="shared" ref="I20:I87" si="14">F20*E20</f>
        <v>0</v>
      </c>
      <c r="J20" s="397">
        <f t="shared" si="0"/>
        <v>0</v>
      </c>
      <c r="K20" s="170">
        <f>Planilha2!C5</f>
        <v>455.62950000000001</v>
      </c>
      <c r="L20" s="171">
        <f t="shared" si="1"/>
        <v>514.86133500000005</v>
      </c>
      <c r="M20" s="170">
        <f t="shared" si="2"/>
        <v>0</v>
      </c>
      <c r="N20" s="170">
        <f t="shared" si="3"/>
        <v>0</v>
      </c>
      <c r="O20" s="140"/>
      <c r="P20" s="170">
        <f>H20</f>
        <v>541.95929999999998</v>
      </c>
      <c r="Q20" s="170">
        <f t="shared" si="4"/>
        <v>455.62950000000001</v>
      </c>
      <c r="R20" s="170">
        <f t="shared" si="5"/>
        <v>479.61</v>
      </c>
      <c r="S20" s="170">
        <f t="shared" si="6"/>
        <v>541.95929999999998</v>
      </c>
      <c r="T20" s="172">
        <f t="shared" si="7"/>
        <v>0</v>
      </c>
      <c r="U20" s="172">
        <f t="shared" si="8"/>
        <v>23.980500000000003</v>
      </c>
      <c r="V20" s="172">
        <f t="shared" si="13"/>
        <v>455.62950000000001</v>
      </c>
      <c r="W20" s="172">
        <f t="shared" si="9"/>
        <v>27.097965000000002</v>
      </c>
      <c r="X20" s="172">
        <f>L20</f>
        <v>514.86133500000005</v>
      </c>
      <c r="Y20" s="170">
        <f t="shared" si="10"/>
        <v>0</v>
      </c>
      <c r="Z20" s="176">
        <f t="shared" ref="Z20:Z27" si="15">S20*E20</f>
        <v>0</v>
      </c>
      <c r="AA20" s="170">
        <f>Z22*5%</f>
        <v>0</v>
      </c>
      <c r="AB20" s="170">
        <f t="shared" si="11"/>
        <v>0</v>
      </c>
      <c r="AC20" s="170">
        <f t="shared" si="12"/>
        <v>0</v>
      </c>
      <c r="AD20" s="173">
        <v>0</v>
      </c>
      <c r="AE20" s="133"/>
      <c r="AF20" s="133"/>
      <c r="AG20" s="133"/>
      <c r="AH20" s="133"/>
    </row>
    <row r="21" spans="1:34" ht="15" customHeight="1" x14ac:dyDescent="0.25">
      <c r="A21" s="135"/>
      <c r="B21" s="393" t="s">
        <v>1018</v>
      </c>
      <c r="C21" s="392">
        <v>7898670767292</v>
      </c>
      <c r="D21" s="393" t="s">
        <v>1253</v>
      </c>
      <c r="E21" s="394">
        <v>0</v>
      </c>
      <c r="F21" s="395">
        <f>IF($D$8="A VISTA",Planilha2!B13,Planilha2!B13)</f>
        <v>369.55</v>
      </c>
      <c r="G21" s="396">
        <v>0.13</v>
      </c>
      <c r="H21" s="395">
        <f>IFERROR(F21*(1+G21),#REF!)</f>
        <v>417.5915</v>
      </c>
      <c r="I21" s="395"/>
      <c r="J21" s="397">
        <f>SUM(E21*H21)</f>
        <v>0</v>
      </c>
      <c r="K21" s="292">
        <f>Planilha2!C13</f>
        <v>351.07249999999999</v>
      </c>
      <c r="L21" s="293">
        <f t="shared" si="1"/>
        <v>396.71192500000001</v>
      </c>
      <c r="M21" s="292">
        <f t="shared" si="2"/>
        <v>0</v>
      </c>
      <c r="N21" s="292">
        <f t="shared" si="3"/>
        <v>0</v>
      </c>
      <c r="O21" s="140"/>
      <c r="P21" s="170"/>
      <c r="Q21" s="170"/>
      <c r="R21" s="292">
        <f t="shared" si="5"/>
        <v>369.55</v>
      </c>
      <c r="S21" s="292">
        <f t="shared" si="6"/>
        <v>417.5915</v>
      </c>
      <c r="T21" s="294">
        <f t="shared" si="7"/>
        <v>0</v>
      </c>
      <c r="U21" s="294">
        <f t="shared" ref="U21" si="16">R21*5%</f>
        <v>18.477500000000003</v>
      </c>
      <c r="V21" s="294">
        <f t="shared" ref="V21" si="17">R21-U21</f>
        <v>351.07249999999999</v>
      </c>
      <c r="W21" s="294">
        <f t="shared" ref="W21" si="18">S21*5%</f>
        <v>20.879575000000003</v>
      </c>
      <c r="X21" s="294">
        <f t="shared" ref="X21" si="19">L21</f>
        <v>396.71192500000001</v>
      </c>
      <c r="Y21" s="292">
        <f t="shared" si="10"/>
        <v>0</v>
      </c>
      <c r="Z21" s="292">
        <f t="shared" si="15"/>
        <v>0</v>
      </c>
      <c r="AA21" s="292">
        <f t="shared" ref="AA21" si="20">Z21*5%</f>
        <v>0</v>
      </c>
      <c r="AB21" s="292">
        <f t="shared" si="11"/>
        <v>0</v>
      </c>
      <c r="AC21" s="292">
        <f t="shared" si="12"/>
        <v>0</v>
      </c>
      <c r="AD21" s="173"/>
      <c r="AE21" s="133"/>
      <c r="AF21" s="133"/>
      <c r="AG21" s="133"/>
      <c r="AH21" s="133"/>
    </row>
    <row r="22" spans="1:34" s="28" customFormat="1" ht="15" customHeight="1" x14ac:dyDescent="0.25">
      <c r="A22" s="135"/>
      <c r="B22" s="164" t="s">
        <v>417</v>
      </c>
      <c r="C22" s="165">
        <v>7898670765304</v>
      </c>
      <c r="D22" s="165" t="s">
        <v>913</v>
      </c>
      <c r="E22" s="166">
        <v>0</v>
      </c>
      <c r="F22" s="167">
        <f>IF($D$8="A VISTA",Planilha2!B6,Planilha2!B6)</f>
        <v>299</v>
      </c>
      <c r="G22" s="168">
        <v>0.13</v>
      </c>
      <c r="H22" s="167">
        <f>IFERROR(F22*(1+G22),#REF!)</f>
        <v>337.86999999999995</v>
      </c>
      <c r="I22" s="167">
        <f t="shared" si="14"/>
        <v>0</v>
      </c>
      <c r="J22" s="169">
        <f t="shared" si="0"/>
        <v>0</v>
      </c>
      <c r="K22" s="176">
        <f>Planilha2!C6</f>
        <v>284.05</v>
      </c>
      <c r="L22" s="171">
        <f t="shared" si="1"/>
        <v>320.97649999999999</v>
      </c>
      <c r="M22" s="176">
        <f t="shared" si="2"/>
        <v>0</v>
      </c>
      <c r="N22" s="176">
        <f t="shared" si="3"/>
        <v>0</v>
      </c>
      <c r="O22" s="140"/>
      <c r="P22" s="176">
        <f>H22</f>
        <v>337.86999999999995</v>
      </c>
      <c r="Q22" s="176">
        <f t="shared" si="4"/>
        <v>284.05</v>
      </c>
      <c r="R22" s="176">
        <f t="shared" si="5"/>
        <v>299</v>
      </c>
      <c r="S22" s="176">
        <f t="shared" si="6"/>
        <v>337.86999999999995</v>
      </c>
      <c r="T22" s="172">
        <f t="shared" si="7"/>
        <v>0</v>
      </c>
      <c r="U22" s="172">
        <f t="shared" si="8"/>
        <v>14.950000000000001</v>
      </c>
      <c r="V22" s="172">
        <f t="shared" si="13"/>
        <v>284.05</v>
      </c>
      <c r="W22" s="172">
        <f t="shared" si="9"/>
        <v>16.8935</v>
      </c>
      <c r="X22" s="172">
        <f>L22</f>
        <v>320.97649999999999</v>
      </c>
      <c r="Y22" s="176">
        <f t="shared" si="10"/>
        <v>0</v>
      </c>
      <c r="Z22" s="176">
        <f t="shared" si="15"/>
        <v>0</v>
      </c>
      <c r="AA22" s="176">
        <f>Z23*5%</f>
        <v>0</v>
      </c>
      <c r="AB22" s="176">
        <f t="shared" si="11"/>
        <v>0</v>
      </c>
      <c r="AC22" s="176">
        <f t="shared" si="12"/>
        <v>0</v>
      </c>
      <c r="AD22" s="267">
        <v>0</v>
      </c>
      <c r="AE22" s="133"/>
      <c r="AF22" s="133"/>
      <c r="AG22" s="133"/>
      <c r="AH22" s="133"/>
    </row>
    <row r="23" spans="1:34" ht="15" customHeight="1" x14ac:dyDescent="0.25">
      <c r="A23" s="135"/>
      <c r="B23" s="398" t="s">
        <v>418</v>
      </c>
      <c r="C23" s="400">
        <v>7898670765335</v>
      </c>
      <c r="D23" s="400" t="s">
        <v>914</v>
      </c>
      <c r="E23" s="394">
        <v>0</v>
      </c>
      <c r="F23" s="395">
        <f>IF($D$8="A VISTA",Planilha2!B7,Planilha2!B7)</f>
        <v>166.28</v>
      </c>
      <c r="G23" s="396">
        <v>0.13</v>
      </c>
      <c r="H23" s="395">
        <f>IFERROR(F23*(1+G23),#REF!)</f>
        <v>187.89639999999997</v>
      </c>
      <c r="I23" s="395">
        <f t="shared" si="14"/>
        <v>0</v>
      </c>
      <c r="J23" s="397">
        <f t="shared" si="0"/>
        <v>0</v>
      </c>
      <c r="K23" s="176">
        <f>Planilha2!C7</f>
        <v>157.96600000000001</v>
      </c>
      <c r="L23" s="171">
        <f t="shared" si="1"/>
        <v>178.50158000000002</v>
      </c>
      <c r="M23" s="176">
        <f t="shared" si="2"/>
        <v>0</v>
      </c>
      <c r="N23" s="176">
        <f t="shared" si="3"/>
        <v>0</v>
      </c>
      <c r="O23" s="140"/>
      <c r="P23" s="180">
        <f>H23</f>
        <v>187.89639999999997</v>
      </c>
      <c r="Q23" s="180">
        <f t="shared" si="4"/>
        <v>157.96600000000001</v>
      </c>
      <c r="R23" s="170">
        <f t="shared" si="5"/>
        <v>166.28</v>
      </c>
      <c r="S23" s="185">
        <f>R23+R23*G23</f>
        <v>187.8964</v>
      </c>
      <c r="T23" s="172">
        <f>E23*S23</f>
        <v>0</v>
      </c>
      <c r="U23" s="172">
        <f>R23*5%</f>
        <v>8.3140000000000001</v>
      </c>
      <c r="V23" s="172">
        <f t="shared" si="13"/>
        <v>157.96600000000001</v>
      </c>
      <c r="W23" s="172">
        <f>S23*5%</f>
        <v>9.3948200000000011</v>
      </c>
      <c r="X23" s="172">
        <f>S23-W23</f>
        <v>178.50157999999999</v>
      </c>
      <c r="Y23" s="176">
        <f t="shared" si="10"/>
        <v>0</v>
      </c>
      <c r="Z23" s="182">
        <f t="shared" si="15"/>
        <v>0</v>
      </c>
      <c r="AA23" s="182">
        <f t="shared" ref="AA23:AA63" si="21">Z23*5%</f>
        <v>0</v>
      </c>
      <c r="AB23" s="182">
        <f t="shared" si="11"/>
        <v>0</v>
      </c>
      <c r="AC23" s="182">
        <f t="shared" si="12"/>
        <v>0</v>
      </c>
      <c r="AD23" s="173">
        <f t="shared" ref="AD23:AD84" si="22">X23-AB23</f>
        <v>178.50157999999999</v>
      </c>
      <c r="AE23" s="133"/>
      <c r="AF23" s="133"/>
      <c r="AG23" s="133"/>
      <c r="AH23" s="133"/>
    </row>
    <row r="24" spans="1:34" ht="15" customHeight="1" x14ac:dyDescent="0.25">
      <c r="A24" s="135"/>
      <c r="B24" s="398" t="s">
        <v>26</v>
      </c>
      <c r="C24" s="399" t="s">
        <v>593</v>
      </c>
      <c r="D24" s="400" t="s">
        <v>915</v>
      </c>
      <c r="E24" s="394">
        <v>0</v>
      </c>
      <c r="F24" s="395">
        <f>IF($D$8="A VISTA",Planilha2!B8,Planilha2!B8)</f>
        <v>448.11</v>
      </c>
      <c r="G24" s="396">
        <v>0.13</v>
      </c>
      <c r="H24" s="395">
        <f>IFERROR(F24*(1+G24),#REF!)</f>
        <v>506.36429999999996</v>
      </c>
      <c r="I24" s="395">
        <f t="shared" si="14"/>
        <v>0</v>
      </c>
      <c r="J24" s="397">
        <f t="shared" si="0"/>
        <v>0</v>
      </c>
      <c r="K24" s="170">
        <f>Planilha2!C8</f>
        <v>425.7045</v>
      </c>
      <c r="L24" s="171">
        <f t="shared" si="1"/>
        <v>481.04608500000001</v>
      </c>
      <c r="M24" s="170">
        <f t="shared" si="2"/>
        <v>0</v>
      </c>
      <c r="N24" s="170">
        <f t="shared" si="3"/>
        <v>0</v>
      </c>
      <c r="O24" s="140"/>
      <c r="P24" s="170">
        <f>H24</f>
        <v>506.36429999999996</v>
      </c>
      <c r="Q24" s="170">
        <f t="shared" si="4"/>
        <v>425.7045</v>
      </c>
      <c r="R24" s="170">
        <f t="shared" si="5"/>
        <v>448.11</v>
      </c>
      <c r="S24" s="170">
        <f>H24</f>
        <v>506.36429999999996</v>
      </c>
      <c r="T24" s="172">
        <f>J24</f>
        <v>0</v>
      </c>
      <c r="U24" s="172">
        <f t="shared" ref="U24:U33" si="23">R24*5%</f>
        <v>22.405500000000004</v>
      </c>
      <c r="V24" s="172">
        <f t="shared" si="13"/>
        <v>425.7045</v>
      </c>
      <c r="W24" s="172">
        <f t="shared" si="9"/>
        <v>25.318214999999999</v>
      </c>
      <c r="X24" s="172">
        <f>L24</f>
        <v>481.04608500000001</v>
      </c>
      <c r="Y24" s="170">
        <f t="shared" si="10"/>
        <v>0</v>
      </c>
      <c r="Z24" s="176">
        <f t="shared" si="15"/>
        <v>0</v>
      </c>
      <c r="AA24" s="170">
        <f t="shared" si="21"/>
        <v>0</v>
      </c>
      <c r="AB24" s="182">
        <f t="shared" si="11"/>
        <v>0</v>
      </c>
      <c r="AC24" s="182">
        <f t="shared" si="12"/>
        <v>0</v>
      </c>
      <c r="AD24" s="173">
        <v>0</v>
      </c>
      <c r="AE24" s="133"/>
      <c r="AF24" s="133"/>
      <c r="AG24" s="133"/>
      <c r="AH24" s="133"/>
    </row>
    <row r="25" spans="1:34" ht="16.149999999999999" customHeight="1" x14ac:dyDescent="0.25">
      <c r="A25" s="135"/>
      <c r="B25" s="164" t="s">
        <v>28</v>
      </c>
      <c r="C25" s="62" t="s">
        <v>594</v>
      </c>
      <c r="D25" s="165" t="s">
        <v>916</v>
      </c>
      <c r="E25" s="166">
        <v>0</v>
      </c>
      <c r="F25" s="167">
        <f>IF($D$8="A VISTA",Planilha2!B9,Planilha2!B9)</f>
        <v>169.9</v>
      </c>
      <c r="G25" s="168">
        <v>0.13</v>
      </c>
      <c r="H25" s="167">
        <f>IFERROR(F25*(1+G25),#REF!)</f>
        <v>191.98699999999999</v>
      </c>
      <c r="I25" s="167">
        <f t="shared" si="14"/>
        <v>0</v>
      </c>
      <c r="J25" s="169">
        <f t="shared" si="0"/>
        <v>0</v>
      </c>
      <c r="K25" s="170">
        <f>Planilha2!C9</f>
        <v>161.405</v>
      </c>
      <c r="L25" s="171">
        <f t="shared" si="1"/>
        <v>182.38765000000001</v>
      </c>
      <c r="M25" s="170">
        <f t="shared" si="2"/>
        <v>0</v>
      </c>
      <c r="N25" s="170">
        <f t="shared" si="3"/>
        <v>0</v>
      </c>
      <c r="O25" s="140"/>
      <c r="P25" s="170">
        <f>H25</f>
        <v>191.98699999999999</v>
      </c>
      <c r="Q25" s="170">
        <f t="shared" si="4"/>
        <v>161.405</v>
      </c>
      <c r="R25" s="170">
        <f t="shared" si="5"/>
        <v>169.9</v>
      </c>
      <c r="S25" s="170">
        <f>H25</f>
        <v>191.98699999999999</v>
      </c>
      <c r="T25" s="172">
        <f>J25</f>
        <v>0</v>
      </c>
      <c r="U25" s="172">
        <f t="shared" si="23"/>
        <v>8.495000000000001</v>
      </c>
      <c r="V25" s="172">
        <f t="shared" si="13"/>
        <v>161.405</v>
      </c>
      <c r="W25" s="172">
        <f t="shared" si="9"/>
        <v>9.5993500000000012</v>
      </c>
      <c r="X25" s="172">
        <f>L25</f>
        <v>182.38765000000001</v>
      </c>
      <c r="Y25" s="170">
        <f t="shared" si="10"/>
        <v>0</v>
      </c>
      <c r="Z25" s="176">
        <f t="shared" si="15"/>
        <v>0</v>
      </c>
      <c r="AA25" s="170">
        <f t="shared" si="21"/>
        <v>0</v>
      </c>
      <c r="AB25" s="182">
        <f t="shared" si="11"/>
        <v>0</v>
      </c>
      <c r="AC25" s="182">
        <f t="shared" si="12"/>
        <v>0</v>
      </c>
      <c r="AD25" s="173">
        <v>0</v>
      </c>
      <c r="AE25" s="133"/>
      <c r="AF25" s="133"/>
      <c r="AG25" s="133"/>
      <c r="AH25" s="133"/>
    </row>
    <row r="26" spans="1:34" ht="15" customHeight="1" x14ac:dyDescent="0.25">
      <c r="A26" s="135"/>
      <c r="B26" s="183" t="s">
        <v>29</v>
      </c>
      <c r="C26" s="62" t="s">
        <v>595</v>
      </c>
      <c r="D26" s="165" t="s">
        <v>917</v>
      </c>
      <c r="E26" s="166">
        <v>0</v>
      </c>
      <c r="F26" s="167">
        <f>IF($D$8="A VISTA",Planilha2!B10,Planilha2!B10)</f>
        <v>169.9</v>
      </c>
      <c r="G26" s="168">
        <v>0.13</v>
      </c>
      <c r="H26" s="167">
        <f>IFERROR(F26*(1+G26),#REF!)</f>
        <v>191.98699999999999</v>
      </c>
      <c r="I26" s="167">
        <f t="shared" si="14"/>
        <v>0</v>
      </c>
      <c r="J26" s="169">
        <f t="shared" si="0"/>
        <v>0</v>
      </c>
      <c r="K26" s="170">
        <f>Planilha2!C10</f>
        <v>161.405</v>
      </c>
      <c r="L26" s="171">
        <f t="shared" si="1"/>
        <v>182.38765000000001</v>
      </c>
      <c r="M26" s="170">
        <f t="shared" si="2"/>
        <v>0</v>
      </c>
      <c r="N26" s="170">
        <f t="shared" si="3"/>
        <v>0</v>
      </c>
      <c r="O26" s="140"/>
      <c r="P26" s="170">
        <f>H26</f>
        <v>191.98699999999999</v>
      </c>
      <c r="Q26" s="170">
        <f t="shared" si="4"/>
        <v>161.405</v>
      </c>
      <c r="R26" s="170">
        <f t="shared" si="5"/>
        <v>169.9</v>
      </c>
      <c r="S26" s="170">
        <f>H26</f>
        <v>191.98699999999999</v>
      </c>
      <c r="T26" s="172">
        <f>J26</f>
        <v>0</v>
      </c>
      <c r="U26" s="172">
        <f t="shared" si="23"/>
        <v>8.495000000000001</v>
      </c>
      <c r="V26" s="172">
        <f t="shared" si="13"/>
        <v>161.405</v>
      </c>
      <c r="W26" s="172">
        <f t="shared" si="9"/>
        <v>9.5993500000000012</v>
      </c>
      <c r="X26" s="172">
        <f>L26</f>
        <v>182.38765000000001</v>
      </c>
      <c r="Y26" s="170">
        <f t="shared" si="10"/>
        <v>0</v>
      </c>
      <c r="Z26" s="176">
        <f t="shared" si="15"/>
        <v>0</v>
      </c>
      <c r="AA26" s="170">
        <f t="shared" si="21"/>
        <v>0</v>
      </c>
      <c r="AB26" s="182">
        <f t="shared" si="11"/>
        <v>0</v>
      </c>
      <c r="AC26" s="182">
        <f t="shared" si="12"/>
        <v>0</v>
      </c>
      <c r="AD26" s="173">
        <v>0</v>
      </c>
      <c r="AE26" s="133"/>
      <c r="AF26" s="133"/>
      <c r="AG26" s="133"/>
      <c r="AH26" s="133"/>
    </row>
    <row r="27" spans="1:34" s="28" customFormat="1" ht="15" customHeight="1" x14ac:dyDescent="0.25">
      <c r="A27" s="135"/>
      <c r="B27" s="385" t="s">
        <v>997</v>
      </c>
      <c r="C27" s="401">
        <v>7898670767193</v>
      </c>
      <c r="D27" s="387" t="s">
        <v>1257</v>
      </c>
      <c r="E27" s="402">
        <v>0</v>
      </c>
      <c r="F27" s="403">
        <f>IF($D$8="A VISTA",Planilha2!B11,Planilha2!B11)</f>
        <v>189.9</v>
      </c>
      <c r="G27" s="404">
        <v>0.13</v>
      </c>
      <c r="H27" s="403">
        <f>IFERROR(F27*(1+G27),#REF!)</f>
        <v>214.58699999999999</v>
      </c>
      <c r="I27" s="403">
        <f t="shared" ref="I27" si="24">F27*E27</f>
        <v>0</v>
      </c>
      <c r="J27" s="405">
        <f t="shared" ref="J27" si="25">SUM(E27*H27)</f>
        <v>0</v>
      </c>
      <c r="K27" s="176">
        <f>Planilha2!C11</f>
        <v>180.405</v>
      </c>
      <c r="L27" s="171">
        <f t="shared" si="1"/>
        <v>203.85765000000001</v>
      </c>
      <c r="M27" s="176">
        <f t="shared" si="2"/>
        <v>0</v>
      </c>
      <c r="N27" s="176">
        <f t="shared" si="3"/>
        <v>0</v>
      </c>
      <c r="O27" s="140"/>
      <c r="P27" s="176"/>
      <c r="Q27" s="176"/>
      <c r="R27" s="176">
        <f t="shared" si="5"/>
        <v>189.9</v>
      </c>
      <c r="S27" s="176">
        <f>H27</f>
        <v>214.58699999999999</v>
      </c>
      <c r="T27" s="172">
        <f>J27</f>
        <v>0</v>
      </c>
      <c r="U27" s="172">
        <f t="shared" si="23"/>
        <v>9.495000000000001</v>
      </c>
      <c r="V27" s="172">
        <f t="shared" si="13"/>
        <v>180.405</v>
      </c>
      <c r="W27" s="172">
        <f t="shared" ref="W27" si="26">S27*5%</f>
        <v>10.72935</v>
      </c>
      <c r="X27" s="172">
        <f>L27</f>
        <v>203.85765000000001</v>
      </c>
      <c r="Y27" s="176">
        <f t="shared" si="10"/>
        <v>0</v>
      </c>
      <c r="Z27" s="176">
        <f t="shared" si="15"/>
        <v>0</v>
      </c>
      <c r="AA27" s="176">
        <f t="shared" ref="AA27" si="27">Z27*5%</f>
        <v>0</v>
      </c>
      <c r="AB27" s="176">
        <f t="shared" si="11"/>
        <v>0</v>
      </c>
      <c r="AC27" s="176">
        <f t="shared" si="12"/>
        <v>0</v>
      </c>
      <c r="AD27" s="267">
        <v>1</v>
      </c>
      <c r="AE27" s="133"/>
      <c r="AF27" s="133"/>
      <c r="AG27" s="133"/>
      <c r="AH27" s="133"/>
    </row>
    <row r="28" spans="1:34" ht="15" customHeight="1" x14ac:dyDescent="0.25">
      <c r="A28" s="135"/>
      <c r="B28" s="157" t="s">
        <v>12</v>
      </c>
      <c r="C28" s="158" t="s">
        <v>13</v>
      </c>
      <c r="D28" s="159" t="s">
        <v>1023</v>
      </c>
      <c r="E28" s="160" t="s">
        <v>15</v>
      </c>
      <c r="F28" s="161" t="s">
        <v>607</v>
      </c>
      <c r="G28" s="162" t="s">
        <v>500</v>
      </c>
      <c r="H28" s="161" t="s">
        <v>609</v>
      </c>
      <c r="I28" s="161" t="s">
        <v>615</v>
      </c>
      <c r="J28" s="161" t="s">
        <v>16</v>
      </c>
      <c r="K28" s="161" t="s">
        <v>606</v>
      </c>
      <c r="L28" s="162" t="s">
        <v>908</v>
      </c>
      <c r="M28" s="161" t="s">
        <v>615</v>
      </c>
      <c r="N28" s="161" t="s">
        <v>16</v>
      </c>
      <c r="O28" s="140"/>
      <c r="P28" s="170"/>
      <c r="Q28" s="170"/>
      <c r="R28" s="162" t="s">
        <v>909</v>
      </c>
      <c r="S28" s="162" t="s">
        <v>891</v>
      </c>
      <c r="T28" s="162" t="s">
        <v>892</v>
      </c>
      <c r="U28" s="163" t="s">
        <v>894</v>
      </c>
      <c r="V28" s="162" t="s">
        <v>870</v>
      </c>
      <c r="W28" s="163" t="s">
        <v>895</v>
      </c>
      <c r="X28" s="162" t="s">
        <v>893</v>
      </c>
      <c r="Y28" s="161" t="s">
        <v>596</v>
      </c>
      <c r="Z28" s="161" t="s">
        <v>861</v>
      </c>
      <c r="AA28" s="161" t="s">
        <v>860</v>
      </c>
      <c r="AB28" s="161" t="s">
        <v>859</v>
      </c>
      <c r="AC28" s="161" t="s">
        <v>858</v>
      </c>
      <c r="AD28" s="173"/>
      <c r="AE28" s="133"/>
      <c r="AF28" s="133"/>
      <c r="AG28" s="133"/>
      <c r="AH28" s="133"/>
    </row>
    <row r="29" spans="1:34" ht="15" customHeight="1" x14ac:dyDescent="0.25">
      <c r="A29" s="135"/>
      <c r="B29" s="385" t="s">
        <v>1026</v>
      </c>
      <c r="C29" s="401">
        <v>7898670767285</v>
      </c>
      <c r="D29" s="387" t="s">
        <v>1264</v>
      </c>
      <c r="E29" s="402">
        <v>0</v>
      </c>
      <c r="F29" s="403">
        <f>IF($D$8="A VISTA",Planilha2!B15,Planilha2!B15)</f>
        <v>589</v>
      </c>
      <c r="G29" s="404">
        <v>0</v>
      </c>
      <c r="H29" s="403">
        <f>IFERROR(F29*(1+G29),#REF!)</f>
        <v>589</v>
      </c>
      <c r="I29" s="403"/>
      <c r="J29" s="405">
        <f t="shared" ref="J29:J30" si="28">SUM(E29*H29)</f>
        <v>0</v>
      </c>
      <c r="K29" s="292">
        <f>Planilha2!C15</f>
        <v>559.54999999999995</v>
      </c>
      <c r="L29" s="293">
        <f>K29*G29+K29</f>
        <v>559.54999999999995</v>
      </c>
      <c r="M29" s="292">
        <f>K29*E29</f>
        <v>0</v>
      </c>
      <c r="N29" s="292">
        <f>L29*E29</f>
        <v>0</v>
      </c>
      <c r="O29" s="140"/>
      <c r="P29" s="170"/>
      <c r="Q29" s="170"/>
      <c r="R29" s="292">
        <f>F29</f>
        <v>589</v>
      </c>
      <c r="S29" s="292">
        <f>H29</f>
        <v>589</v>
      </c>
      <c r="T29" s="294">
        <f>J29</f>
        <v>0</v>
      </c>
      <c r="U29" s="294">
        <f t="shared" ref="U29:U30" si="29">R29*5%</f>
        <v>29.450000000000003</v>
      </c>
      <c r="V29" s="294">
        <f t="shared" ref="V29:V30" si="30">R29-U29</f>
        <v>559.54999999999995</v>
      </c>
      <c r="W29" s="294">
        <f t="shared" ref="W29:W30" si="31">S29*5%</f>
        <v>29.450000000000003</v>
      </c>
      <c r="X29" s="294">
        <f t="shared" ref="X29:X30" si="32">L29</f>
        <v>559.54999999999995</v>
      </c>
      <c r="Y29" s="292">
        <f>X29*E29</f>
        <v>0</v>
      </c>
      <c r="Z29" s="292">
        <f>S29*E29</f>
        <v>0</v>
      </c>
      <c r="AA29" s="292">
        <f t="shared" ref="AA29:AA30" si="33">Z29*5%</f>
        <v>0</v>
      </c>
      <c r="AB29" s="292">
        <f>S29*E29</f>
        <v>0</v>
      </c>
      <c r="AC29" s="292">
        <f>X29*E29</f>
        <v>0</v>
      </c>
      <c r="AD29" s="173"/>
      <c r="AE29" s="133"/>
      <c r="AF29" s="133"/>
      <c r="AG29" s="133"/>
      <c r="AH29" s="133"/>
    </row>
    <row r="30" spans="1:34" ht="15" customHeight="1" x14ac:dyDescent="0.25">
      <c r="A30" s="135"/>
      <c r="B30" s="385" t="s">
        <v>1027</v>
      </c>
      <c r="C30" s="401">
        <v>7898670767278</v>
      </c>
      <c r="D30" s="387" t="s">
        <v>1265</v>
      </c>
      <c r="E30" s="402">
        <v>0</v>
      </c>
      <c r="F30" s="403">
        <f>IF($D$8="A VISTA",Planilha2!B16,Planilha2!B16)</f>
        <v>589</v>
      </c>
      <c r="G30" s="404">
        <v>0</v>
      </c>
      <c r="H30" s="403">
        <f>IFERROR(F30*(1+G30),#REF!)</f>
        <v>589</v>
      </c>
      <c r="I30" s="403"/>
      <c r="J30" s="405">
        <f t="shared" si="28"/>
        <v>0</v>
      </c>
      <c r="K30" s="292">
        <f>Planilha2!C16</f>
        <v>559.54999999999995</v>
      </c>
      <c r="L30" s="293">
        <f>K30*G30+K30</f>
        <v>559.54999999999995</v>
      </c>
      <c r="M30" s="292">
        <f>K30*E30</f>
        <v>0</v>
      </c>
      <c r="N30" s="292">
        <f>L30*E30</f>
        <v>0</v>
      </c>
      <c r="O30" s="140"/>
      <c r="P30" s="170"/>
      <c r="Q30" s="170"/>
      <c r="R30" s="292">
        <f>F30</f>
        <v>589</v>
      </c>
      <c r="S30" s="292">
        <f>H30</f>
        <v>589</v>
      </c>
      <c r="T30" s="294">
        <f>J30</f>
        <v>0</v>
      </c>
      <c r="U30" s="294">
        <f t="shared" si="29"/>
        <v>29.450000000000003</v>
      </c>
      <c r="V30" s="294">
        <f t="shared" si="30"/>
        <v>559.54999999999995</v>
      </c>
      <c r="W30" s="294">
        <f t="shared" si="31"/>
        <v>29.450000000000003</v>
      </c>
      <c r="X30" s="294">
        <f t="shared" si="32"/>
        <v>559.54999999999995</v>
      </c>
      <c r="Y30" s="292">
        <f>X30*E30</f>
        <v>0</v>
      </c>
      <c r="Z30" s="292">
        <f>S30*E30</f>
        <v>0</v>
      </c>
      <c r="AA30" s="292">
        <f t="shared" si="33"/>
        <v>0</v>
      </c>
      <c r="AB30" s="292">
        <f>S30*E30</f>
        <v>0</v>
      </c>
      <c r="AC30" s="292">
        <f>X30*E30</f>
        <v>0</v>
      </c>
      <c r="AD30" s="173"/>
      <c r="AE30" s="133"/>
      <c r="AF30" s="133"/>
      <c r="AG30" s="133"/>
      <c r="AH30" s="133"/>
    </row>
    <row r="31" spans="1:34" ht="15" customHeight="1" x14ac:dyDescent="0.25">
      <c r="A31" s="135"/>
      <c r="B31" s="157" t="s">
        <v>12</v>
      </c>
      <c r="C31" s="158" t="s">
        <v>13</v>
      </c>
      <c r="D31" s="159" t="s">
        <v>484</v>
      </c>
      <c r="E31" s="160" t="s">
        <v>15</v>
      </c>
      <c r="F31" s="161" t="s">
        <v>607</v>
      </c>
      <c r="G31" s="162" t="s">
        <v>500</v>
      </c>
      <c r="H31" s="161" t="s">
        <v>609</v>
      </c>
      <c r="I31" s="161" t="s">
        <v>615</v>
      </c>
      <c r="J31" s="161" t="s">
        <v>16</v>
      </c>
      <c r="K31" s="161" t="s">
        <v>606</v>
      </c>
      <c r="L31" s="162" t="s">
        <v>908</v>
      </c>
      <c r="M31" s="161" t="s">
        <v>615</v>
      </c>
      <c r="N31" s="161" t="s">
        <v>16</v>
      </c>
      <c r="O31" s="140"/>
      <c r="P31" s="161" t="s">
        <v>853</v>
      </c>
      <c r="Q31" s="161" t="s">
        <v>606</v>
      </c>
      <c r="R31" s="162" t="s">
        <v>909</v>
      </c>
      <c r="S31" s="162" t="s">
        <v>891</v>
      </c>
      <c r="T31" s="162" t="s">
        <v>892</v>
      </c>
      <c r="U31" s="163" t="s">
        <v>894</v>
      </c>
      <c r="V31" s="162" t="s">
        <v>870</v>
      </c>
      <c r="W31" s="163" t="s">
        <v>895</v>
      </c>
      <c r="X31" s="162" t="s">
        <v>893</v>
      </c>
      <c r="Y31" s="161" t="s">
        <v>596</v>
      </c>
      <c r="Z31" s="161" t="s">
        <v>861</v>
      </c>
      <c r="AA31" s="161" t="s">
        <v>860</v>
      </c>
      <c r="AB31" s="161" t="s">
        <v>859</v>
      </c>
      <c r="AC31" s="161" t="s">
        <v>858</v>
      </c>
      <c r="AD31" s="161" t="s">
        <v>874</v>
      </c>
      <c r="AE31" s="133"/>
      <c r="AF31" s="133"/>
      <c r="AG31" s="133"/>
      <c r="AH31" s="133"/>
    </row>
    <row r="32" spans="1:34" ht="15" customHeight="1" x14ac:dyDescent="0.25">
      <c r="A32" s="135"/>
      <c r="B32" s="183" t="s">
        <v>613</v>
      </c>
      <c r="C32" s="165">
        <v>7898670766615</v>
      </c>
      <c r="D32" s="186" t="s">
        <v>918</v>
      </c>
      <c r="E32" s="166">
        <v>0</v>
      </c>
      <c r="F32" s="167">
        <f>IF($D$8="A VISTA",Planilha2!B18,Planilha2!B18)</f>
        <v>177</v>
      </c>
      <c r="G32" s="168">
        <v>0.13</v>
      </c>
      <c r="H32" s="167">
        <f>IFERROR(F32*(1+G32),#REF!)</f>
        <v>200.01</v>
      </c>
      <c r="I32" s="167">
        <f t="shared" si="14"/>
        <v>0</v>
      </c>
      <c r="J32" s="169">
        <f t="shared" ref="J32:J40" si="34">SUM(E32*H32)</f>
        <v>0</v>
      </c>
      <c r="K32" s="170">
        <f>Planilha2!C18</f>
        <v>168.15</v>
      </c>
      <c r="L32" s="184">
        <f t="shared" ref="L32:L40" si="35">K32*G32+K32</f>
        <v>190.0095</v>
      </c>
      <c r="M32" s="170">
        <f t="shared" ref="M32:M40" si="36">K32*E32</f>
        <v>0</v>
      </c>
      <c r="N32" s="170">
        <f t="shared" ref="N32:N40" si="37">L32*E32</f>
        <v>0</v>
      </c>
      <c r="O32" s="140"/>
      <c r="P32" s="170">
        <f t="shared" ref="P32:P40" si="38">H32</f>
        <v>200.01</v>
      </c>
      <c r="Q32" s="170">
        <f t="shared" ref="Q32:Q40" si="39">L32</f>
        <v>190.0095</v>
      </c>
      <c r="R32" s="170">
        <f>F32</f>
        <v>177</v>
      </c>
      <c r="S32" s="170">
        <f>H32</f>
        <v>200.01</v>
      </c>
      <c r="T32" s="172">
        <f>J32</f>
        <v>0</v>
      </c>
      <c r="U32" s="171">
        <f t="shared" si="23"/>
        <v>8.85</v>
      </c>
      <c r="V32" s="172">
        <f t="shared" si="13"/>
        <v>168.15</v>
      </c>
      <c r="W32" s="172">
        <f t="shared" ref="W32:W40" si="40">S32*5%</f>
        <v>10.000500000000001</v>
      </c>
      <c r="X32" s="185">
        <f>L32</f>
        <v>190.0095</v>
      </c>
      <c r="Y32" s="170">
        <f t="shared" ref="Y32:Y40" si="41">X32*E32</f>
        <v>0</v>
      </c>
      <c r="Z32" s="182">
        <f t="shared" ref="Z32:Z40" si="42">S32*E32</f>
        <v>0</v>
      </c>
      <c r="AA32" s="170">
        <f t="shared" si="21"/>
        <v>0</v>
      </c>
      <c r="AB32" s="182">
        <f t="shared" ref="AB32:AB40" si="43">S32*E32</f>
        <v>0</v>
      </c>
      <c r="AC32" s="182">
        <f t="shared" ref="AC32:AC40" si="44">X32*E32</f>
        <v>0</v>
      </c>
      <c r="AD32" s="173">
        <f t="shared" si="22"/>
        <v>190.0095</v>
      </c>
      <c r="AE32" s="133"/>
      <c r="AF32" s="133"/>
      <c r="AG32" s="133"/>
      <c r="AH32" s="133"/>
    </row>
    <row r="33" spans="1:395" ht="15" customHeight="1" x14ac:dyDescent="0.25">
      <c r="A33" s="135"/>
      <c r="B33" s="183" t="s">
        <v>901</v>
      </c>
      <c r="C33" s="62" t="s">
        <v>477</v>
      </c>
      <c r="D33" s="186" t="s">
        <v>919</v>
      </c>
      <c r="E33" s="166">
        <v>0</v>
      </c>
      <c r="F33" s="167">
        <f>IF($D$8="A VISTA",Planilha2!B19,Planilha2!B19)</f>
        <v>177</v>
      </c>
      <c r="G33" s="168">
        <v>0.13</v>
      </c>
      <c r="H33" s="167">
        <f>IFERROR(F33*(1+G33),#REF!)</f>
        <v>200.01</v>
      </c>
      <c r="I33" s="167">
        <f t="shared" si="14"/>
        <v>0</v>
      </c>
      <c r="J33" s="169">
        <f t="shared" si="34"/>
        <v>0</v>
      </c>
      <c r="K33" s="170">
        <f>Planilha2!C19</f>
        <v>168.15</v>
      </c>
      <c r="L33" s="184">
        <f t="shared" si="35"/>
        <v>190.0095</v>
      </c>
      <c r="M33" s="170">
        <f t="shared" si="36"/>
        <v>0</v>
      </c>
      <c r="N33" s="170">
        <f t="shared" si="37"/>
        <v>0</v>
      </c>
      <c r="O33" s="140"/>
      <c r="P33" s="170">
        <f t="shared" si="38"/>
        <v>200.01</v>
      </c>
      <c r="Q33" s="170">
        <f t="shared" si="39"/>
        <v>190.0095</v>
      </c>
      <c r="R33" s="170">
        <f>F33</f>
        <v>177</v>
      </c>
      <c r="S33" s="170">
        <f>H33</f>
        <v>200.01</v>
      </c>
      <c r="T33" s="172">
        <f>J33</f>
        <v>0</v>
      </c>
      <c r="U33" s="171">
        <f t="shared" si="23"/>
        <v>8.85</v>
      </c>
      <c r="V33" s="172">
        <f t="shared" si="13"/>
        <v>168.15</v>
      </c>
      <c r="W33" s="172">
        <f t="shared" si="40"/>
        <v>10.000500000000001</v>
      </c>
      <c r="X33" s="185">
        <f>L33</f>
        <v>190.0095</v>
      </c>
      <c r="Y33" s="170">
        <f t="shared" si="41"/>
        <v>0</v>
      </c>
      <c r="Z33" s="182">
        <f t="shared" si="42"/>
        <v>0</v>
      </c>
      <c r="AA33" s="170">
        <f t="shared" si="21"/>
        <v>0</v>
      </c>
      <c r="AB33" s="182">
        <f t="shared" si="43"/>
        <v>0</v>
      </c>
      <c r="AC33" s="182">
        <f t="shared" si="44"/>
        <v>0</v>
      </c>
      <c r="AD33" s="173">
        <f t="shared" si="22"/>
        <v>190.0095</v>
      </c>
      <c r="AE33" s="133"/>
      <c r="AF33" s="133"/>
      <c r="AG33" s="133"/>
      <c r="AH33" s="133"/>
    </row>
    <row r="34" spans="1:395" s="86" customFormat="1" ht="15" customHeight="1" x14ac:dyDescent="0.25">
      <c r="A34" s="135"/>
      <c r="B34" s="187" t="s">
        <v>510</v>
      </c>
      <c r="C34" s="321" t="s">
        <v>478</v>
      </c>
      <c r="D34" s="321" t="s">
        <v>920</v>
      </c>
      <c r="E34" s="300">
        <v>0</v>
      </c>
      <c r="F34" s="301">
        <f>IF($D$8="A VISTA",Planilha2!B20,Planilha2!B20)</f>
        <v>99.9</v>
      </c>
      <c r="G34" s="302">
        <v>0.13</v>
      </c>
      <c r="H34" s="301">
        <f>IFERROR(F34*(1+G34),#REF!)</f>
        <v>112.887</v>
      </c>
      <c r="I34" s="167">
        <f t="shared" si="14"/>
        <v>0</v>
      </c>
      <c r="J34" s="303">
        <f t="shared" si="34"/>
        <v>0</v>
      </c>
      <c r="K34" s="178">
        <f>Planilha2!C20</f>
        <v>94.905000000000001</v>
      </c>
      <c r="L34" s="250">
        <f t="shared" si="35"/>
        <v>107.24265</v>
      </c>
      <c r="M34" s="178">
        <f t="shared" si="36"/>
        <v>0</v>
      </c>
      <c r="N34" s="178">
        <f t="shared" si="37"/>
        <v>0</v>
      </c>
      <c r="O34" s="140"/>
      <c r="P34" s="176">
        <f t="shared" si="38"/>
        <v>112.887</v>
      </c>
      <c r="Q34" s="176">
        <f t="shared" si="39"/>
        <v>107.24265</v>
      </c>
      <c r="R34" s="178">
        <f>PROMO!C137</f>
        <v>99.9</v>
      </c>
      <c r="S34" s="178">
        <f>H34</f>
        <v>112.887</v>
      </c>
      <c r="T34" s="188">
        <f>J34</f>
        <v>0</v>
      </c>
      <c r="U34" s="171">
        <f t="shared" ref="U34" si="45">R34*5%</f>
        <v>4.995000000000001</v>
      </c>
      <c r="V34" s="188">
        <f t="shared" ref="V34" si="46">R34-U34</f>
        <v>94.905000000000001</v>
      </c>
      <c r="W34" s="172">
        <f t="shared" ref="W34" si="47">S34*5%</f>
        <v>5.6443500000000002</v>
      </c>
      <c r="X34" s="249">
        <f>L34</f>
        <v>107.24265</v>
      </c>
      <c r="Y34" s="170">
        <f t="shared" si="41"/>
        <v>0</v>
      </c>
      <c r="Z34" s="182">
        <f t="shared" si="42"/>
        <v>0</v>
      </c>
      <c r="AA34" s="170">
        <f t="shared" ref="AA34" si="48">Z34*5%</f>
        <v>0</v>
      </c>
      <c r="AB34" s="182">
        <f t="shared" si="43"/>
        <v>0</v>
      </c>
      <c r="AC34" s="178">
        <f t="shared" si="44"/>
        <v>0</v>
      </c>
      <c r="AD34" s="181">
        <f t="shared" si="22"/>
        <v>107.24265</v>
      </c>
      <c r="AE34" s="133"/>
      <c r="AF34" s="133"/>
      <c r="AG34" s="133"/>
      <c r="AH34" s="133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  <c r="IW34" s="28"/>
      <c r="IX34" s="28"/>
      <c r="IY34" s="28"/>
      <c r="IZ34" s="28"/>
      <c r="JA34" s="28"/>
      <c r="JB34" s="28"/>
      <c r="JC34" s="28"/>
      <c r="JD34" s="28"/>
      <c r="JE34" s="28"/>
      <c r="JF34" s="28"/>
      <c r="JG34" s="28"/>
      <c r="JH34" s="28"/>
      <c r="JI34" s="28"/>
      <c r="JJ34" s="28"/>
      <c r="JK34" s="28"/>
      <c r="JL34" s="28"/>
      <c r="JM34" s="28"/>
      <c r="JN34" s="28"/>
      <c r="JO34" s="28"/>
      <c r="JP34" s="28"/>
      <c r="JQ34" s="28"/>
      <c r="JR34" s="28"/>
      <c r="JS34" s="28"/>
      <c r="JT34" s="28"/>
      <c r="JU34" s="28"/>
      <c r="JV34" s="28"/>
      <c r="JW34" s="28"/>
      <c r="JX34" s="28"/>
      <c r="JY34" s="28"/>
      <c r="JZ34" s="28"/>
      <c r="KA34" s="28"/>
      <c r="KB34" s="28"/>
      <c r="KC34" s="28"/>
      <c r="KD34" s="28"/>
      <c r="KE34" s="28"/>
      <c r="KF34" s="28"/>
      <c r="KG34" s="28"/>
      <c r="KH34" s="28"/>
      <c r="KI34" s="28"/>
      <c r="KJ34" s="28"/>
      <c r="KK34" s="28"/>
      <c r="KL34" s="28"/>
      <c r="KM34" s="28"/>
      <c r="KN34" s="28"/>
      <c r="KO34" s="28"/>
      <c r="KP34" s="28"/>
      <c r="KQ34" s="28"/>
      <c r="KR34" s="28"/>
      <c r="KS34" s="28"/>
      <c r="KT34" s="28"/>
      <c r="KU34" s="28"/>
      <c r="KV34" s="28"/>
      <c r="KW34" s="28"/>
      <c r="KX34" s="28"/>
      <c r="KY34" s="28"/>
      <c r="KZ34" s="28"/>
      <c r="LA34" s="28"/>
      <c r="LB34" s="28"/>
      <c r="LC34" s="28"/>
      <c r="LD34" s="28"/>
      <c r="LE34" s="28"/>
      <c r="LF34" s="28"/>
      <c r="LG34" s="28"/>
      <c r="LH34" s="28"/>
      <c r="LI34" s="28"/>
      <c r="LJ34" s="28"/>
      <c r="LK34" s="28"/>
      <c r="LL34" s="28"/>
      <c r="LM34" s="28"/>
      <c r="LN34" s="28"/>
      <c r="LO34" s="28"/>
      <c r="LP34" s="28"/>
      <c r="LQ34" s="28"/>
      <c r="LR34" s="28"/>
      <c r="LS34" s="28"/>
      <c r="LT34" s="28"/>
      <c r="LU34" s="28"/>
      <c r="LV34" s="28"/>
      <c r="LW34" s="28"/>
      <c r="LX34" s="28"/>
      <c r="LY34" s="28"/>
      <c r="LZ34" s="28"/>
      <c r="MA34" s="28"/>
      <c r="MB34" s="28"/>
      <c r="MC34" s="28"/>
      <c r="MD34" s="28"/>
      <c r="ME34" s="28"/>
      <c r="MF34" s="28"/>
      <c r="MG34" s="28"/>
      <c r="MH34" s="28"/>
      <c r="MI34" s="28"/>
      <c r="MJ34" s="28"/>
      <c r="MK34" s="28"/>
      <c r="ML34" s="28"/>
      <c r="MM34" s="28"/>
      <c r="MN34" s="28"/>
      <c r="MO34" s="28"/>
      <c r="MP34" s="28"/>
      <c r="MQ34" s="28"/>
      <c r="MR34" s="28"/>
      <c r="MS34" s="28"/>
      <c r="MT34" s="28"/>
      <c r="MU34" s="28"/>
      <c r="MV34" s="28"/>
      <c r="MW34" s="28"/>
      <c r="MX34" s="28"/>
      <c r="MY34" s="28"/>
      <c r="MZ34" s="28"/>
      <c r="NA34" s="28"/>
      <c r="NB34" s="28"/>
      <c r="NC34" s="28"/>
      <c r="ND34" s="28"/>
      <c r="NE34" s="28"/>
      <c r="NF34" s="28"/>
      <c r="NG34" s="28"/>
      <c r="NH34" s="28"/>
      <c r="NI34" s="28"/>
      <c r="NJ34" s="28"/>
      <c r="NK34" s="28"/>
      <c r="NL34" s="28"/>
      <c r="NM34" s="28"/>
      <c r="NN34" s="28"/>
      <c r="NO34" s="28"/>
      <c r="NP34" s="28"/>
      <c r="NQ34" s="28"/>
      <c r="NR34" s="28"/>
      <c r="NS34" s="28"/>
      <c r="NT34" s="28"/>
      <c r="NU34" s="28"/>
      <c r="NV34" s="28"/>
      <c r="NW34" s="28"/>
      <c r="NX34" s="28"/>
      <c r="NY34" s="28"/>
      <c r="NZ34" s="28"/>
      <c r="OA34" s="28"/>
      <c r="OB34" s="28"/>
      <c r="OC34" s="28"/>
      <c r="OD34" s="28"/>
      <c r="OE34" s="28"/>
    </row>
    <row r="35" spans="1:395" ht="15" customHeight="1" x14ac:dyDescent="0.25">
      <c r="A35" s="135"/>
      <c r="B35" s="183" t="s">
        <v>476</v>
      </c>
      <c r="C35" s="62" t="s">
        <v>479</v>
      </c>
      <c r="D35" s="186" t="s">
        <v>921</v>
      </c>
      <c r="E35" s="166">
        <v>0</v>
      </c>
      <c r="F35" s="167">
        <f>IF($D$8="A VISTA",Planilha2!B21,Planilha2!B21)</f>
        <v>149.9</v>
      </c>
      <c r="G35" s="168">
        <v>0.13</v>
      </c>
      <c r="H35" s="167">
        <f>IFERROR(F35*(1+G35),#REF!)</f>
        <v>169.387</v>
      </c>
      <c r="I35" s="167">
        <f t="shared" si="14"/>
        <v>0</v>
      </c>
      <c r="J35" s="169">
        <f t="shared" si="34"/>
        <v>0</v>
      </c>
      <c r="K35" s="176">
        <f>Planilha2!C21</f>
        <v>142.405</v>
      </c>
      <c r="L35" s="184">
        <f t="shared" si="35"/>
        <v>160.91765000000001</v>
      </c>
      <c r="M35" s="176">
        <f t="shared" si="36"/>
        <v>0</v>
      </c>
      <c r="N35" s="176">
        <f t="shared" si="37"/>
        <v>0</v>
      </c>
      <c r="O35" s="140"/>
      <c r="P35" s="176">
        <f t="shared" si="38"/>
        <v>169.387</v>
      </c>
      <c r="Q35" s="176">
        <f t="shared" si="39"/>
        <v>160.91765000000001</v>
      </c>
      <c r="R35" s="185">
        <f>F35</f>
        <v>149.9</v>
      </c>
      <c r="S35" s="172">
        <f>H35</f>
        <v>169.387</v>
      </c>
      <c r="T35" s="172">
        <f>J35</f>
        <v>0</v>
      </c>
      <c r="U35" s="172">
        <f t="shared" ref="U35:U76" si="49">R35*5%</f>
        <v>7.495000000000001</v>
      </c>
      <c r="V35" s="172">
        <f t="shared" ref="V35:V76" si="50">R35-U35</f>
        <v>142.405</v>
      </c>
      <c r="W35" s="172">
        <f t="shared" si="40"/>
        <v>8.4693500000000004</v>
      </c>
      <c r="X35" s="185">
        <f>L35</f>
        <v>160.91765000000001</v>
      </c>
      <c r="Y35" s="176">
        <f t="shared" si="41"/>
        <v>0</v>
      </c>
      <c r="Z35" s="182">
        <f t="shared" si="42"/>
        <v>0</v>
      </c>
      <c r="AA35" s="170">
        <f t="shared" si="21"/>
        <v>0</v>
      </c>
      <c r="AB35" s="182">
        <f t="shared" si="43"/>
        <v>0</v>
      </c>
      <c r="AC35" s="182">
        <f t="shared" si="44"/>
        <v>0</v>
      </c>
      <c r="AD35" s="173">
        <f t="shared" si="22"/>
        <v>160.91765000000001</v>
      </c>
      <c r="AE35" s="133"/>
      <c r="AF35" s="133"/>
      <c r="AG35" s="133"/>
      <c r="AH35" s="133"/>
    </row>
    <row r="36" spans="1:395" s="86" customFormat="1" ht="15" customHeight="1" x14ac:dyDescent="0.25">
      <c r="A36" s="135"/>
      <c r="B36" s="183" t="s">
        <v>502</v>
      </c>
      <c r="C36" s="62" t="s">
        <v>480</v>
      </c>
      <c r="D36" s="186" t="s">
        <v>922</v>
      </c>
      <c r="E36" s="166">
        <v>0</v>
      </c>
      <c r="F36" s="167">
        <f>IF($D$8="A VISTA",Planilha2!B22,Planilha2!B22)</f>
        <v>192.9</v>
      </c>
      <c r="G36" s="168">
        <v>0.13</v>
      </c>
      <c r="H36" s="167">
        <f>IFERROR(F36*(1+G36),#REF!)</f>
        <v>217.97699999999998</v>
      </c>
      <c r="I36" s="167">
        <f t="shared" si="14"/>
        <v>0</v>
      </c>
      <c r="J36" s="169">
        <f t="shared" si="34"/>
        <v>0</v>
      </c>
      <c r="K36" s="176">
        <f>Planilha2!C22</f>
        <v>183.255</v>
      </c>
      <c r="L36" s="184">
        <f t="shared" si="35"/>
        <v>207.07814999999999</v>
      </c>
      <c r="M36" s="176">
        <f t="shared" si="36"/>
        <v>0</v>
      </c>
      <c r="N36" s="176">
        <f t="shared" si="37"/>
        <v>0</v>
      </c>
      <c r="O36" s="140"/>
      <c r="P36" s="176">
        <f t="shared" si="38"/>
        <v>217.97699999999998</v>
      </c>
      <c r="Q36" s="176">
        <f t="shared" si="39"/>
        <v>207.07814999999999</v>
      </c>
      <c r="R36" s="185">
        <f>F36</f>
        <v>192.9</v>
      </c>
      <c r="S36" s="185">
        <f>H36</f>
        <v>217.97699999999998</v>
      </c>
      <c r="T36" s="172">
        <f>J36</f>
        <v>0</v>
      </c>
      <c r="U36" s="172">
        <f t="shared" si="49"/>
        <v>9.6450000000000014</v>
      </c>
      <c r="V36" s="172">
        <f t="shared" si="50"/>
        <v>183.255</v>
      </c>
      <c r="W36" s="172">
        <f t="shared" si="40"/>
        <v>10.898849999999999</v>
      </c>
      <c r="X36" s="185">
        <f>L36</f>
        <v>207.07814999999999</v>
      </c>
      <c r="Y36" s="176">
        <f t="shared" si="41"/>
        <v>0</v>
      </c>
      <c r="Z36" s="182">
        <f t="shared" si="42"/>
        <v>0</v>
      </c>
      <c r="AA36" s="170">
        <f>Z36*5%</f>
        <v>0</v>
      </c>
      <c r="AB36" s="182">
        <f t="shared" si="43"/>
        <v>0</v>
      </c>
      <c r="AC36" s="182">
        <f t="shared" si="44"/>
        <v>0</v>
      </c>
      <c r="AD36" s="173">
        <f>X36-AB36</f>
        <v>207.07814999999999</v>
      </c>
      <c r="AE36" s="133"/>
      <c r="AF36" s="133"/>
      <c r="AG36" s="133"/>
      <c r="AH36" s="133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  <c r="IW36" s="28"/>
      <c r="IX36" s="28"/>
      <c r="IY36" s="28"/>
      <c r="IZ36" s="28"/>
      <c r="JA36" s="28"/>
      <c r="JB36" s="28"/>
      <c r="JC36" s="28"/>
      <c r="JD36" s="28"/>
      <c r="JE36" s="28"/>
      <c r="JF36" s="28"/>
      <c r="JG36" s="28"/>
      <c r="JH36" s="28"/>
      <c r="JI36" s="28"/>
      <c r="JJ36" s="28"/>
      <c r="JK36" s="28"/>
      <c r="JL36" s="28"/>
      <c r="JM36" s="28"/>
      <c r="JN36" s="28"/>
      <c r="JO36" s="28"/>
      <c r="JP36" s="28"/>
      <c r="JQ36" s="28"/>
      <c r="JR36" s="28"/>
      <c r="JS36" s="28"/>
      <c r="JT36" s="28"/>
      <c r="JU36" s="28"/>
      <c r="JV36" s="28"/>
      <c r="JW36" s="28"/>
      <c r="JX36" s="28"/>
      <c r="JY36" s="28"/>
      <c r="JZ36" s="28"/>
      <c r="KA36" s="28"/>
      <c r="KB36" s="28"/>
      <c r="KC36" s="28"/>
      <c r="KD36" s="28"/>
      <c r="KE36" s="28"/>
      <c r="KF36" s="28"/>
      <c r="KG36" s="28"/>
      <c r="KH36" s="28"/>
      <c r="KI36" s="28"/>
      <c r="KJ36" s="28"/>
      <c r="KK36" s="28"/>
      <c r="KL36" s="28"/>
      <c r="KM36" s="28"/>
      <c r="KN36" s="28"/>
      <c r="KO36" s="28"/>
      <c r="KP36" s="28"/>
      <c r="KQ36" s="28"/>
      <c r="KR36" s="28"/>
      <c r="KS36" s="28"/>
      <c r="KT36" s="28"/>
      <c r="KU36" s="28"/>
      <c r="KV36" s="28"/>
      <c r="KW36" s="28"/>
      <c r="KX36" s="28"/>
      <c r="KY36" s="28"/>
      <c r="KZ36" s="28"/>
      <c r="LA36" s="28"/>
      <c r="LB36" s="28"/>
      <c r="LC36" s="28"/>
      <c r="LD36" s="28"/>
      <c r="LE36" s="28"/>
      <c r="LF36" s="28"/>
      <c r="LG36" s="28"/>
      <c r="LH36" s="28"/>
      <c r="LI36" s="28"/>
      <c r="LJ36" s="28"/>
      <c r="LK36" s="28"/>
      <c r="LL36" s="28"/>
      <c r="LM36" s="28"/>
      <c r="LN36" s="28"/>
      <c r="LO36" s="28"/>
      <c r="LP36" s="28"/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8"/>
      <c r="MC36" s="28"/>
      <c r="MD36" s="28"/>
      <c r="ME36" s="28"/>
      <c r="MF36" s="28"/>
      <c r="MG36" s="28"/>
      <c r="MH36" s="28"/>
      <c r="MI36" s="28"/>
      <c r="MJ36" s="28"/>
      <c r="MK36" s="28"/>
      <c r="ML36" s="28"/>
      <c r="MM36" s="28"/>
      <c r="MN36" s="28"/>
      <c r="MO36" s="28"/>
      <c r="MP36" s="28"/>
      <c r="MQ36" s="28"/>
      <c r="MR36" s="28"/>
      <c r="MS36" s="28"/>
      <c r="MT36" s="28"/>
      <c r="MU36" s="28"/>
      <c r="MV36" s="28"/>
      <c r="MW36" s="28"/>
      <c r="MX36" s="28"/>
      <c r="MY36" s="28"/>
      <c r="MZ36" s="28"/>
      <c r="NA36" s="28"/>
      <c r="NB36" s="28"/>
      <c r="NC36" s="28"/>
      <c r="ND36" s="28"/>
      <c r="NE36" s="28"/>
      <c r="NF36" s="28"/>
      <c r="NG36" s="28"/>
      <c r="NH36" s="28"/>
      <c r="NI36" s="28"/>
      <c r="NJ36" s="28"/>
      <c r="NK36" s="28"/>
      <c r="NL36" s="28"/>
      <c r="NM36" s="28"/>
      <c r="NN36" s="28"/>
      <c r="NO36" s="28"/>
      <c r="NP36" s="28"/>
      <c r="NQ36" s="28"/>
      <c r="NR36" s="28"/>
      <c r="NS36" s="28"/>
      <c r="NT36" s="28"/>
      <c r="NU36" s="28"/>
      <c r="NV36" s="28"/>
      <c r="NW36" s="28"/>
      <c r="NX36" s="28"/>
      <c r="NY36" s="28"/>
      <c r="NZ36" s="28"/>
      <c r="OA36" s="28"/>
      <c r="OB36" s="28"/>
      <c r="OC36" s="28"/>
      <c r="OD36" s="28"/>
      <c r="OE36" s="28"/>
    </row>
    <row r="37" spans="1:395" s="28" customFormat="1" ht="15" customHeight="1" x14ac:dyDescent="0.25">
      <c r="A37" s="135"/>
      <c r="B37" s="187" t="s">
        <v>531</v>
      </c>
      <c r="C37" s="177">
        <v>7898670766349</v>
      </c>
      <c r="D37" s="248" t="s">
        <v>923</v>
      </c>
      <c r="E37" s="300">
        <v>0</v>
      </c>
      <c r="F37" s="301">
        <f>IF($D$8="A VISTA",Planilha2!B23,Planilha2!B23)</f>
        <v>99.9</v>
      </c>
      <c r="G37" s="302">
        <v>0.13</v>
      </c>
      <c r="H37" s="301">
        <f>IFERROR(F37*(1+G37),#REF!)</f>
        <v>112.887</v>
      </c>
      <c r="I37" s="301">
        <f t="shared" si="14"/>
        <v>0</v>
      </c>
      <c r="J37" s="303">
        <f t="shared" si="34"/>
        <v>0</v>
      </c>
      <c r="K37" s="178">
        <f>PROMO!C141</f>
        <v>99.9</v>
      </c>
      <c r="L37" s="250">
        <f t="shared" si="35"/>
        <v>112.887</v>
      </c>
      <c r="M37" s="178">
        <f t="shared" si="36"/>
        <v>0</v>
      </c>
      <c r="N37" s="178">
        <f t="shared" si="37"/>
        <v>0</v>
      </c>
      <c r="O37" s="140"/>
      <c r="P37" s="176">
        <f t="shared" si="38"/>
        <v>112.887</v>
      </c>
      <c r="Q37" s="176">
        <f t="shared" si="39"/>
        <v>112.887</v>
      </c>
      <c r="R37" s="249">
        <f>PROMO!C141</f>
        <v>99.9</v>
      </c>
      <c r="S37" s="249">
        <f>R37+R37*G37</f>
        <v>112.887</v>
      </c>
      <c r="T37" s="249">
        <f>E37*S37</f>
        <v>0</v>
      </c>
      <c r="U37" s="249">
        <f t="shared" si="49"/>
        <v>4.995000000000001</v>
      </c>
      <c r="V37" s="249">
        <f t="shared" si="50"/>
        <v>94.905000000000001</v>
      </c>
      <c r="W37" s="249">
        <f t="shared" si="40"/>
        <v>5.6443500000000002</v>
      </c>
      <c r="X37" s="249">
        <f>S37-W37</f>
        <v>107.24265</v>
      </c>
      <c r="Y37" s="178">
        <f t="shared" si="41"/>
        <v>0</v>
      </c>
      <c r="Z37" s="178">
        <f t="shared" si="42"/>
        <v>0</v>
      </c>
      <c r="AA37" s="178">
        <f t="shared" si="21"/>
        <v>0</v>
      </c>
      <c r="AB37" s="178">
        <f t="shared" si="43"/>
        <v>0</v>
      </c>
      <c r="AC37" s="178">
        <f t="shared" si="44"/>
        <v>0</v>
      </c>
      <c r="AD37" s="267">
        <f t="shared" si="22"/>
        <v>107.24265</v>
      </c>
      <c r="AE37" s="133"/>
      <c r="AF37" s="133"/>
      <c r="AG37" s="133"/>
      <c r="AH37" s="133"/>
    </row>
    <row r="38" spans="1:395" s="28" customFormat="1" ht="15" customHeight="1" x14ac:dyDescent="0.25">
      <c r="A38" s="135"/>
      <c r="B38" s="187" t="s">
        <v>532</v>
      </c>
      <c r="C38" s="177">
        <v>7898670766356</v>
      </c>
      <c r="D38" s="248" t="s">
        <v>924</v>
      </c>
      <c r="E38" s="300">
        <v>0</v>
      </c>
      <c r="F38" s="301">
        <f>IF($D$8="A VISTA",Planilha2!B24,Planilha2!B24)</f>
        <v>99.9</v>
      </c>
      <c r="G38" s="302">
        <v>0.13</v>
      </c>
      <c r="H38" s="301">
        <f>IFERROR(F38*(1+G38),#REF!)</f>
        <v>112.887</v>
      </c>
      <c r="I38" s="301">
        <f t="shared" si="14"/>
        <v>0</v>
      </c>
      <c r="J38" s="303">
        <f t="shared" si="34"/>
        <v>0</v>
      </c>
      <c r="K38" s="178">
        <f>PROMO!C140</f>
        <v>99.9</v>
      </c>
      <c r="L38" s="250">
        <f t="shared" si="35"/>
        <v>112.887</v>
      </c>
      <c r="M38" s="178">
        <f t="shared" si="36"/>
        <v>0</v>
      </c>
      <c r="N38" s="178">
        <f t="shared" si="37"/>
        <v>0</v>
      </c>
      <c r="O38" s="140"/>
      <c r="P38" s="176">
        <f t="shared" si="38"/>
        <v>112.887</v>
      </c>
      <c r="Q38" s="176">
        <f t="shared" si="39"/>
        <v>112.887</v>
      </c>
      <c r="R38" s="249">
        <f>PROMO!C140</f>
        <v>99.9</v>
      </c>
      <c r="S38" s="249">
        <f>R38+R38*G38</f>
        <v>112.887</v>
      </c>
      <c r="T38" s="249">
        <f>E38*S38</f>
        <v>0</v>
      </c>
      <c r="U38" s="249">
        <f t="shared" si="49"/>
        <v>4.995000000000001</v>
      </c>
      <c r="V38" s="249">
        <f t="shared" si="50"/>
        <v>94.905000000000001</v>
      </c>
      <c r="W38" s="249">
        <f t="shared" si="40"/>
        <v>5.6443500000000002</v>
      </c>
      <c r="X38" s="249">
        <f>S38-W38</f>
        <v>107.24265</v>
      </c>
      <c r="Y38" s="178">
        <f t="shared" si="41"/>
        <v>0</v>
      </c>
      <c r="Z38" s="178">
        <f t="shared" si="42"/>
        <v>0</v>
      </c>
      <c r="AA38" s="178">
        <f t="shared" si="21"/>
        <v>0</v>
      </c>
      <c r="AB38" s="178">
        <f t="shared" si="43"/>
        <v>0</v>
      </c>
      <c r="AC38" s="178">
        <f t="shared" si="44"/>
        <v>0</v>
      </c>
      <c r="AD38" s="267">
        <f t="shared" si="22"/>
        <v>107.24265</v>
      </c>
      <c r="AE38" s="133"/>
      <c r="AF38" s="133"/>
      <c r="AG38" s="133"/>
      <c r="AH38" s="133"/>
    </row>
    <row r="39" spans="1:395" s="86" customFormat="1" ht="15" customHeight="1" x14ac:dyDescent="0.25">
      <c r="A39" s="135"/>
      <c r="B39" s="187" t="s">
        <v>524</v>
      </c>
      <c r="C39" s="177">
        <v>7898670766301</v>
      </c>
      <c r="D39" s="248" t="s">
        <v>903</v>
      </c>
      <c r="E39" s="300">
        <v>0</v>
      </c>
      <c r="F39" s="301">
        <f>IF($D$8="A VISTA",Planilha2!B25,Planilha2!B25)</f>
        <v>149.9</v>
      </c>
      <c r="G39" s="302">
        <v>0.13</v>
      </c>
      <c r="H39" s="301">
        <f>IFERROR(F39*(1+G39),#REF!)</f>
        <v>169.387</v>
      </c>
      <c r="I39" s="167">
        <f t="shared" si="14"/>
        <v>0</v>
      </c>
      <c r="J39" s="303">
        <f t="shared" si="34"/>
        <v>0</v>
      </c>
      <c r="K39" s="178">
        <f>Planilha2!C25</f>
        <v>142.405</v>
      </c>
      <c r="L39" s="250">
        <f t="shared" si="35"/>
        <v>160.91765000000001</v>
      </c>
      <c r="M39" s="178">
        <f t="shared" si="36"/>
        <v>0</v>
      </c>
      <c r="N39" s="178">
        <f t="shared" si="37"/>
        <v>0</v>
      </c>
      <c r="O39" s="140"/>
      <c r="P39" s="176">
        <f t="shared" si="38"/>
        <v>169.387</v>
      </c>
      <c r="Q39" s="176">
        <f t="shared" si="39"/>
        <v>160.91765000000001</v>
      </c>
      <c r="R39" s="249">
        <f>PROMO!C143</f>
        <v>149.9</v>
      </c>
      <c r="S39" s="249">
        <f>R39+R39*G39</f>
        <v>169.387</v>
      </c>
      <c r="T39" s="249">
        <f>E39*S39</f>
        <v>0</v>
      </c>
      <c r="U39" s="185">
        <f t="shared" si="49"/>
        <v>7.495000000000001</v>
      </c>
      <c r="V39" s="249">
        <f t="shared" si="50"/>
        <v>142.405</v>
      </c>
      <c r="W39" s="185">
        <f t="shared" si="40"/>
        <v>8.4693500000000004</v>
      </c>
      <c r="X39" s="249">
        <f>S39-W39</f>
        <v>160.91765000000001</v>
      </c>
      <c r="Y39" s="176">
        <f t="shared" si="41"/>
        <v>0</v>
      </c>
      <c r="Z39" s="176">
        <f t="shared" si="42"/>
        <v>0</v>
      </c>
      <c r="AA39" s="176">
        <f t="shared" si="21"/>
        <v>0</v>
      </c>
      <c r="AB39" s="176">
        <f t="shared" si="43"/>
        <v>0</v>
      </c>
      <c r="AC39" s="178">
        <f t="shared" si="44"/>
        <v>0</v>
      </c>
      <c r="AD39" s="181">
        <f t="shared" si="22"/>
        <v>160.91765000000001</v>
      </c>
      <c r="AE39" s="133"/>
      <c r="AF39" s="133"/>
      <c r="AG39" s="133"/>
      <c r="AH39" s="133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8"/>
      <c r="JG39" s="28"/>
      <c r="JH39" s="28"/>
      <c r="JI39" s="28"/>
      <c r="JJ39" s="28"/>
      <c r="JK39" s="28"/>
      <c r="JL39" s="28"/>
      <c r="JM39" s="28"/>
      <c r="JN39" s="28"/>
      <c r="JO39" s="28"/>
      <c r="JP39" s="28"/>
      <c r="JQ39" s="28"/>
      <c r="JR39" s="28"/>
      <c r="JS39" s="28"/>
      <c r="JT39" s="28"/>
      <c r="JU39" s="28"/>
      <c r="JV39" s="28"/>
      <c r="JW39" s="28"/>
      <c r="JX39" s="28"/>
      <c r="JY39" s="28"/>
      <c r="JZ39" s="28"/>
      <c r="KA39" s="28"/>
      <c r="KB39" s="28"/>
      <c r="KC39" s="28"/>
      <c r="KD39" s="28"/>
      <c r="KE39" s="28"/>
      <c r="KF39" s="28"/>
      <c r="KG39" s="28"/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8"/>
      <c r="MR39" s="28"/>
      <c r="MS39" s="28"/>
      <c r="MT39" s="28"/>
      <c r="MU39" s="28"/>
      <c r="MV39" s="28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8"/>
      <c r="NI39" s="28"/>
      <c r="NJ39" s="28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</row>
    <row r="40" spans="1:395" s="86" customFormat="1" ht="15" customHeight="1" x14ac:dyDescent="0.25">
      <c r="A40" s="135"/>
      <c r="B40" s="187" t="s">
        <v>501</v>
      </c>
      <c r="C40" s="324">
        <v>7898670766196</v>
      </c>
      <c r="D40" s="248" t="s">
        <v>925</v>
      </c>
      <c r="E40" s="300">
        <v>0</v>
      </c>
      <c r="F40" s="301">
        <f>IF($D$8="A VISTA",Planilha2!B26,Planilha2!B26)</f>
        <v>99.9</v>
      </c>
      <c r="G40" s="302">
        <v>0.13</v>
      </c>
      <c r="H40" s="301">
        <f>IFERROR(F40*(1+G40),#REF!)</f>
        <v>112.887</v>
      </c>
      <c r="I40" s="167">
        <f t="shared" si="14"/>
        <v>0</v>
      </c>
      <c r="J40" s="303">
        <f t="shared" si="34"/>
        <v>0</v>
      </c>
      <c r="K40" s="178">
        <f>Planilha2!C26</f>
        <v>94.905000000000001</v>
      </c>
      <c r="L40" s="250">
        <f t="shared" si="35"/>
        <v>107.24265</v>
      </c>
      <c r="M40" s="178">
        <f t="shared" si="36"/>
        <v>0</v>
      </c>
      <c r="N40" s="178">
        <f t="shared" si="37"/>
        <v>0</v>
      </c>
      <c r="O40" s="140"/>
      <c r="P40" s="176">
        <f t="shared" si="38"/>
        <v>112.887</v>
      </c>
      <c r="Q40" s="176">
        <f t="shared" si="39"/>
        <v>107.24265</v>
      </c>
      <c r="R40" s="249">
        <f>PROMO!C138</f>
        <v>99.9</v>
      </c>
      <c r="S40" s="188">
        <f>R40+R40*G40</f>
        <v>112.887</v>
      </c>
      <c r="T40" s="249">
        <f>E40*S40</f>
        <v>0</v>
      </c>
      <c r="U40" s="185">
        <f t="shared" si="49"/>
        <v>4.995000000000001</v>
      </c>
      <c r="V40" s="249">
        <f t="shared" si="50"/>
        <v>94.905000000000001</v>
      </c>
      <c r="W40" s="185">
        <f t="shared" si="40"/>
        <v>5.6443500000000002</v>
      </c>
      <c r="X40" s="249">
        <f>S40-W40</f>
        <v>107.24265</v>
      </c>
      <c r="Y40" s="176">
        <f t="shared" si="41"/>
        <v>0</v>
      </c>
      <c r="Z40" s="176">
        <f t="shared" si="42"/>
        <v>0</v>
      </c>
      <c r="AA40" s="176">
        <f t="shared" si="21"/>
        <v>0</v>
      </c>
      <c r="AB40" s="176">
        <f t="shared" si="43"/>
        <v>0</v>
      </c>
      <c r="AC40" s="178">
        <f t="shared" si="44"/>
        <v>0</v>
      </c>
      <c r="AD40" s="181">
        <f t="shared" si="22"/>
        <v>107.24265</v>
      </c>
      <c r="AE40" s="133"/>
      <c r="AF40" s="133"/>
      <c r="AG40" s="133"/>
      <c r="AH40" s="133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  <c r="IW40" s="28"/>
      <c r="IX40" s="28"/>
      <c r="IY40" s="28"/>
      <c r="IZ40" s="28"/>
      <c r="JA40" s="28"/>
      <c r="JB40" s="28"/>
      <c r="JC40" s="28"/>
      <c r="JD40" s="28"/>
      <c r="JE40" s="28"/>
      <c r="JF40" s="28"/>
      <c r="JG40" s="28"/>
      <c r="JH40" s="28"/>
      <c r="JI40" s="28"/>
      <c r="JJ40" s="28"/>
      <c r="JK40" s="28"/>
      <c r="JL40" s="28"/>
      <c r="JM40" s="28"/>
      <c r="JN40" s="28"/>
      <c r="JO40" s="28"/>
      <c r="JP40" s="28"/>
      <c r="JQ40" s="28"/>
      <c r="JR40" s="28"/>
      <c r="JS40" s="28"/>
      <c r="JT40" s="28"/>
      <c r="JU40" s="28"/>
      <c r="JV40" s="28"/>
      <c r="JW40" s="28"/>
      <c r="JX40" s="28"/>
      <c r="JY40" s="28"/>
      <c r="JZ40" s="28"/>
      <c r="KA40" s="28"/>
      <c r="KB40" s="28"/>
      <c r="KC40" s="28"/>
      <c r="KD40" s="28"/>
      <c r="KE40" s="28"/>
      <c r="KF40" s="28"/>
      <c r="KG40" s="28"/>
      <c r="KH40" s="28"/>
      <c r="KI40" s="28"/>
      <c r="KJ40" s="28"/>
      <c r="KK40" s="28"/>
      <c r="KL40" s="28"/>
      <c r="KM40" s="28"/>
      <c r="KN40" s="28"/>
      <c r="KO40" s="28"/>
      <c r="KP40" s="28"/>
      <c r="KQ40" s="28"/>
      <c r="KR40" s="28"/>
      <c r="KS40" s="28"/>
      <c r="KT40" s="28"/>
      <c r="KU40" s="28"/>
      <c r="KV40" s="28"/>
      <c r="KW40" s="28"/>
      <c r="KX40" s="28"/>
      <c r="KY40" s="28"/>
      <c r="KZ40" s="28"/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8"/>
      <c r="MR40" s="28"/>
      <c r="MS40" s="28"/>
      <c r="MT40" s="28"/>
      <c r="MU40" s="28"/>
      <c r="MV40" s="28"/>
      <c r="MW40" s="28"/>
      <c r="MX40" s="28"/>
      <c r="MY40" s="28"/>
      <c r="MZ40" s="28"/>
      <c r="NA40" s="28"/>
      <c r="NB40" s="28"/>
      <c r="NC40" s="28"/>
      <c r="ND40" s="28"/>
      <c r="NE40" s="28"/>
      <c r="NF40" s="28"/>
      <c r="NG40" s="28"/>
      <c r="NH40" s="28"/>
      <c r="NI40" s="28"/>
      <c r="NJ40" s="28"/>
      <c r="NK40" s="28"/>
      <c r="NL40" s="28"/>
      <c r="NM40" s="28"/>
      <c r="NN40" s="28"/>
      <c r="NO40" s="28"/>
      <c r="NP40" s="28"/>
      <c r="NQ40" s="28"/>
      <c r="NR40" s="28"/>
      <c r="NS40" s="28"/>
      <c r="NT40" s="28"/>
      <c r="NU40" s="28"/>
      <c r="NV40" s="28"/>
      <c r="NW40" s="28"/>
      <c r="NX40" s="28"/>
      <c r="NY40" s="28"/>
      <c r="NZ40" s="28"/>
      <c r="OA40" s="28"/>
      <c r="OB40" s="28"/>
      <c r="OC40" s="28"/>
      <c r="OD40" s="28"/>
      <c r="OE40" s="28"/>
    </row>
    <row r="41" spans="1:395" ht="15" customHeight="1" x14ac:dyDescent="0.25">
      <c r="A41" s="135"/>
      <c r="B41" s="157" t="s">
        <v>12</v>
      </c>
      <c r="C41" s="158" t="s">
        <v>13</v>
      </c>
      <c r="D41" s="160" t="s">
        <v>485</v>
      </c>
      <c r="E41" s="160" t="s">
        <v>15</v>
      </c>
      <c r="F41" s="161" t="s">
        <v>607</v>
      </c>
      <c r="G41" s="162" t="s">
        <v>500</v>
      </c>
      <c r="H41" s="161" t="s">
        <v>609</v>
      </c>
      <c r="I41" s="161" t="s">
        <v>615</v>
      </c>
      <c r="J41" s="161" t="s">
        <v>16</v>
      </c>
      <c r="K41" s="161" t="s">
        <v>606</v>
      </c>
      <c r="L41" s="162" t="s">
        <v>908</v>
      </c>
      <c r="M41" s="161" t="s">
        <v>615</v>
      </c>
      <c r="N41" s="161" t="s">
        <v>16</v>
      </c>
      <c r="O41" s="140"/>
      <c r="P41" s="161" t="s">
        <v>853</v>
      </c>
      <c r="Q41" s="161" t="s">
        <v>606</v>
      </c>
      <c r="R41" s="162" t="s">
        <v>909</v>
      </c>
      <c r="S41" s="162" t="s">
        <v>891</v>
      </c>
      <c r="T41" s="162" t="s">
        <v>892</v>
      </c>
      <c r="U41" s="163" t="s">
        <v>894</v>
      </c>
      <c r="V41" s="162" t="s">
        <v>870</v>
      </c>
      <c r="W41" s="163" t="s">
        <v>895</v>
      </c>
      <c r="X41" s="162" t="s">
        <v>893</v>
      </c>
      <c r="Y41" s="161" t="s">
        <v>596</v>
      </c>
      <c r="Z41" s="161" t="s">
        <v>861</v>
      </c>
      <c r="AA41" s="161" t="s">
        <v>860</v>
      </c>
      <c r="AB41" s="161" t="s">
        <v>859</v>
      </c>
      <c r="AC41" s="161" t="s">
        <v>858</v>
      </c>
      <c r="AD41" s="161" t="s">
        <v>874</v>
      </c>
      <c r="AE41" s="133"/>
      <c r="AF41" s="133"/>
      <c r="AG41" s="133"/>
      <c r="AH41" s="133"/>
    </row>
    <row r="42" spans="1:395" ht="15" customHeight="1" x14ac:dyDescent="0.25">
      <c r="A42" s="135"/>
      <c r="B42" s="183" t="s">
        <v>525</v>
      </c>
      <c r="C42" s="257">
        <v>7898670766318</v>
      </c>
      <c r="D42" s="216" t="s">
        <v>926</v>
      </c>
      <c r="E42" s="166">
        <v>0</v>
      </c>
      <c r="F42" s="167">
        <f>IF($D$8="A VISTA",Planilha2!B28,Planilha2!B28)</f>
        <v>87.9</v>
      </c>
      <c r="G42" s="168">
        <v>0.13</v>
      </c>
      <c r="H42" s="167">
        <f>IFERROR(F42*(1+G42),#REF!)</f>
        <v>99.326999999999998</v>
      </c>
      <c r="I42" s="167">
        <f t="shared" si="14"/>
        <v>0</v>
      </c>
      <c r="J42" s="169">
        <f>SUM(E42*H42)</f>
        <v>0</v>
      </c>
      <c r="K42" s="170">
        <f>Planilha2!C28</f>
        <v>83.50500000000001</v>
      </c>
      <c r="L42" s="184">
        <f t="shared" ref="L42:L49" si="51">K42*G42+K42</f>
        <v>94.360650000000007</v>
      </c>
      <c r="M42" s="170">
        <f t="shared" ref="M42:M49" si="52">K42*E42</f>
        <v>0</v>
      </c>
      <c r="N42" s="170">
        <f t="shared" ref="N42:N49" si="53">L42*E42</f>
        <v>0</v>
      </c>
      <c r="O42" s="140"/>
      <c r="P42" s="170">
        <f t="shared" ref="P42:P49" si="54">H42</f>
        <v>99.326999999999998</v>
      </c>
      <c r="Q42" s="170">
        <f t="shared" ref="Q42:Q49" si="55">L42</f>
        <v>94.360650000000007</v>
      </c>
      <c r="R42" s="185">
        <f>F42</f>
        <v>87.9</v>
      </c>
      <c r="S42" s="185">
        <f>H42</f>
        <v>99.326999999999998</v>
      </c>
      <c r="T42" s="185">
        <f>J42</f>
        <v>0</v>
      </c>
      <c r="U42" s="185">
        <f t="shared" si="49"/>
        <v>4.3950000000000005</v>
      </c>
      <c r="V42" s="185">
        <f t="shared" si="50"/>
        <v>83.50500000000001</v>
      </c>
      <c r="W42" s="185">
        <f t="shared" ref="W42:W49" si="56">S42*5%</f>
        <v>4.9663500000000003</v>
      </c>
      <c r="X42" s="185">
        <f t="shared" ref="X42:X49" si="57">L42</f>
        <v>94.360650000000007</v>
      </c>
      <c r="Y42" s="170">
        <f t="shared" ref="Y42:Y49" si="58">X42*E42</f>
        <v>0</v>
      </c>
      <c r="Z42" s="182">
        <f t="shared" ref="Z42:Z49" si="59">S42*E42</f>
        <v>0</v>
      </c>
      <c r="AA42" s="170">
        <f t="shared" si="21"/>
        <v>0</v>
      </c>
      <c r="AB42" s="182">
        <f t="shared" ref="AB42:AB49" si="60">S42*E42</f>
        <v>0</v>
      </c>
      <c r="AC42" s="182">
        <f t="shared" ref="AC42:AC49" si="61">X42*E42</f>
        <v>0</v>
      </c>
      <c r="AD42" s="173">
        <f t="shared" si="22"/>
        <v>94.360650000000007</v>
      </c>
      <c r="AE42" s="133"/>
      <c r="AF42" s="133"/>
      <c r="AG42" s="133"/>
      <c r="AH42" s="133"/>
    </row>
    <row r="43" spans="1:395" x14ac:dyDescent="0.25">
      <c r="A43" s="135"/>
      <c r="B43" s="65" t="s">
        <v>527</v>
      </c>
      <c r="C43" s="174">
        <v>7898670766325</v>
      </c>
      <c r="D43" s="216" t="s">
        <v>927</v>
      </c>
      <c r="E43" s="189">
        <v>0</v>
      </c>
      <c r="F43" s="167">
        <f>IF($D$8="A VISTA",Planilha2!B29,Planilha2!B29)</f>
        <v>87.9</v>
      </c>
      <c r="G43" s="168">
        <v>0.13</v>
      </c>
      <c r="H43" s="167">
        <f>IFERROR(F43*(1+G43),#REF!)</f>
        <v>99.326999999999998</v>
      </c>
      <c r="I43" s="167">
        <f t="shared" si="14"/>
        <v>0</v>
      </c>
      <c r="J43" s="169">
        <f>SUM(E43*H43)</f>
        <v>0</v>
      </c>
      <c r="K43" s="170">
        <f>Planilha2!C29</f>
        <v>83.50500000000001</v>
      </c>
      <c r="L43" s="184">
        <f t="shared" si="51"/>
        <v>94.360650000000007</v>
      </c>
      <c r="M43" s="170">
        <f t="shared" si="52"/>
        <v>0</v>
      </c>
      <c r="N43" s="170">
        <f t="shared" si="53"/>
        <v>0</v>
      </c>
      <c r="O43" s="140"/>
      <c r="P43" s="170">
        <f t="shared" si="54"/>
        <v>99.326999999999998</v>
      </c>
      <c r="Q43" s="170">
        <f t="shared" si="55"/>
        <v>94.360650000000007</v>
      </c>
      <c r="R43" s="185">
        <f>F43</f>
        <v>87.9</v>
      </c>
      <c r="S43" s="185">
        <f>H43</f>
        <v>99.326999999999998</v>
      </c>
      <c r="T43" s="185">
        <f>J43</f>
        <v>0</v>
      </c>
      <c r="U43" s="185">
        <f t="shared" si="49"/>
        <v>4.3950000000000005</v>
      </c>
      <c r="V43" s="185">
        <f t="shared" si="50"/>
        <v>83.50500000000001</v>
      </c>
      <c r="W43" s="185">
        <f t="shared" si="56"/>
        <v>4.9663500000000003</v>
      </c>
      <c r="X43" s="185">
        <f t="shared" si="57"/>
        <v>94.360650000000007</v>
      </c>
      <c r="Y43" s="170">
        <f t="shared" si="58"/>
        <v>0</v>
      </c>
      <c r="Z43" s="182">
        <f t="shared" si="59"/>
        <v>0</v>
      </c>
      <c r="AA43" s="170">
        <f t="shared" si="21"/>
        <v>0</v>
      </c>
      <c r="AB43" s="182">
        <f t="shared" si="60"/>
        <v>0</v>
      </c>
      <c r="AC43" s="182">
        <f t="shared" si="61"/>
        <v>0</v>
      </c>
      <c r="AD43" s="173">
        <f t="shared" si="22"/>
        <v>94.360650000000007</v>
      </c>
      <c r="AE43" s="133"/>
      <c r="AF43" s="133"/>
      <c r="AG43" s="133"/>
      <c r="AH43" s="133"/>
    </row>
    <row r="44" spans="1:395" ht="15" customHeight="1" x14ac:dyDescent="0.25">
      <c r="A44" s="135"/>
      <c r="B44" s="183" t="s">
        <v>30</v>
      </c>
      <c r="C44" s="258" t="s">
        <v>31</v>
      </c>
      <c r="D44" s="216" t="s">
        <v>928</v>
      </c>
      <c r="E44" s="166">
        <v>0</v>
      </c>
      <c r="F44" s="167">
        <f>IF($D$8="A VISTA",Planilha2!B30,Planilha2!B30)</f>
        <v>125</v>
      </c>
      <c r="G44" s="168">
        <v>0.13</v>
      </c>
      <c r="H44" s="167">
        <f>IFERROR(F44*(1+G44),#REF!)</f>
        <v>141.25</v>
      </c>
      <c r="I44" s="167">
        <f t="shared" si="14"/>
        <v>0</v>
      </c>
      <c r="J44" s="169">
        <f>SUM(E44*H44)</f>
        <v>0</v>
      </c>
      <c r="K44" s="170">
        <f>Planilha2!C30</f>
        <v>118.75</v>
      </c>
      <c r="L44" s="184">
        <f t="shared" si="51"/>
        <v>134.1875</v>
      </c>
      <c r="M44" s="170">
        <f t="shared" si="52"/>
        <v>0</v>
      </c>
      <c r="N44" s="170">
        <f t="shared" si="53"/>
        <v>0</v>
      </c>
      <c r="O44" s="140"/>
      <c r="P44" s="170">
        <f t="shared" si="54"/>
        <v>141.25</v>
      </c>
      <c r="Q44" s="170">
        <f t="shared" si="55"/>
        <v>134.1875</v>
      </c>
      <c r="R44" s="185">
        <f>F44</f>
        <v>125</v>
      </c>
      <c r="S44" s="185">
        <f>H44</f>
        <v>141.25</v>
      </c>
      <c r="T44" s="185">
        <f>J44</f>
        <v>0</v>
      </c>
      <c r="U44" s="185">
        <f t="shared" si="49"/>
        <v>6.25</v>
      </c>
      <c r="V44" s="185">
        <f t="shared" si="50"/>
        <v>118.75</v>
      </c>
      <c r="W44" s="185">
        <f t="shared" si="56"/>
        <v>7.0625</v>
      </c>
      <c r="X44" s="185">
        <f t="shared" si="57"/>
        <v>134.1875</v>
      </c>
      <c r="Y44" s="170">
        <f t="shared" si="58"/>
        <v>0</v>
      </c>
      <c r="Z44" s="182">
        <f t="shared" si="59"/>
        <v>0</v>
      </c>
      <c r="AA44" s="170">
        <f t="shared" si="21"/>
        <v>0</v>
      </c>
      <c r="AB44" s="182">
        <f t="shared" si="60"/>
        <v>0</v>
      </c>
      <c r="AC44" s="182">
        <f t="shared" si="61"/>
        <v>0</v>
      </c>
      <c r="AD44" s="173">
        <f t="shared" si="22"/>
        <v>134.1875</v>
      </c>
      <c r="AE44" s="133"/>
      <c r="AF44" s="133"/>
      <c r="AG44" s="133"/>
      <c r="AH44" s="133"/>
    </row>
    <row r="45" spans="1:395" ht="15" customHeight="1" x14ac:dyDescent="0.25">
      <c r="A45" s="135"/>
      <c r="B45" s="183" t="s">
        <v>32</v>
      </c>
      <c r="C45" s="258" t="s">
        <v>33</v>
      </c>
      <c r="D45" s="216" t="s">
        <v>929</v>
      </c>
      <c r="E45" s="166">
        <v>0</v>
      </c>
      <c r="F45" s="167">
        <f>IF($D$8="A VISTA",Planilha2!B31,Planilha2!B31)</f>
        <v>172</v>
      </c>
      <c r="G45" s="168">
        <v>0.13</v>
      </c>
      <c r="H45" s="167">
        <f>IFERROR(F45*(1+G45),#REF!)</f>
        <v>194.35999999999999</v>
      </c>
      <c r="I45" s="167">
        <f t="shared" si="14"/>
        <v>0</v>
      </c>
      <c r="J45" s="169">
        <f>(E45*H45)</f>
        <v>0</v>
      </c>
      <c r="K45" s="170">
        <f>Planilha2!C31</f>
        <v>163.4</v>
      </c>
      <c r="L45" s="184">
        <f t="shared" si="51"/>
        <v>184.642</v>
      </c>
      <c r="M45" s="170">
        <f t="shared" si="52"/>
        <v>0</v>
      </c>
      <c r="N45" s="170">
        <f t="shared" si="53"/>
        <v>0</v>
      </c>
      <c r="O45" s="140"/>
      <c r="P45" s="170">
        <f t="shared" si="54"/>
        <v>194.35999999999999</v>
      </c>
      <c r="Q45" s="170">
        <f t="shared" si="55"/>
        <v>184.642</v>
      </c>
      <c r="R45" s="185">
        <f>F45</f>
        <v>172</v>
      </c>
      <c r="S45" s="185">
        <f>H45</f>
        <v>194.35999999999999</v>
      </c>
      <c r="T45" s="185">
        <f>J45</f>
        <v>0</v>
      </c>
      <c r="U45" s="185">
        <f t="shared" si="49"/>
        <v>8.6</v>
      </c>
      <c r="V45" s="185">
        <f t="shared" si="50"/>
        <v>163.4</v>
      </c>
      <c r="W45" s="185">
        <f t="shared" si="56"/>
        <v>9.718</v>
      </c>
      <c r="X45" s="185">
        <f t="shared" si="57"/>
        <v>184.642</v>
      </c>
      <c r="Y45" s="170">
        <f t="shared" si="58"/>
        <v>0</v>
      </c>
      <c r="Z45" s="182">
        <f t="shared" si="59"/>
        <v>0</v>
      </c>
      <c r="AA45" s="170">
        <f t="shared" si="21"/>
        <v>0</v>
      </c>
      <c r="AB45" s="182">
        <f t="shared" si="60"/>
        <v>0</v>
      </c>
      <c r="AC45" s="182">
        <f t="shared" si="61"/>
        <v>0</v>
      </c>
      <c r="AD45" s="173">
        <f t="shared" si="22"/>
        <v>184.642</v>
      </c>
      <c r="AE45" s="133"/>
      <c r="AF45" s="133"/>
      <c r="AG45" s="133"/>
      <c r="AH45" s="133"/>
    </row>
    <row r="46" spans="1:395" ht="15" customHeight="1" x14ac:dyDescent="0.25">
      <c r="A46" s="135"/>
      <c r="B46" s="385" t="s">
        <v>255</v>
      </c>
      <c r="C46" s="406" t="s">
        <v>256</v>
      </c>
      <c r="D46" s="350" t="s">
        <v>1258</v>
      </c>
      <c r="E46" s="402">
        <v>0</v>
      </c>
      <c r="F46" s="403">
        <f>IF($D$8="A VISTA",Planilha2!B32,Planilha2!B32)</f>
        <v>159</v>
      </c>
      <c r="G46" s="404">
        <v>0.13</v>
      </c>
      <c r="H46" s="403">
        <f>IFERROR(F46*(1+G46),#REF!)</f>
        <v>179.67</v>
      </c>
      <c r="I46" s="403">
        <f t="shared" si="14"/>
        <v>0</v>
      </c>
      <c r="J46" s="405">
        <f>SUM(E46*H46)</f>
        <v>0</v>
      </c>
      <c r="K46" s="178">
        <f>Planilha2!C32</f>
        <v>151.05000000000001</v>
      </c>
      <c r="L46" s="250">
        <f t="shared" si="51"/>
        <v>170.68650000000002</v>
      </c>
      <c r="M46" s="178">
        <f t="shared" si="52"/>
        <v>0</v>
      </c>
      <c r="N46" s="178">
        <f t="shared" si="53"/>
        <v>0</v>
      </c>
      <c r="O46" s="140"/>
      <c r="P46" s="176">
        <f t="shared" si="54"/>
        <v>179.67</v>
      </c>
      <c r="Q46" s="176">
        <f t="shared" si="55"/>
        <v>170.68650000000002</v>
      </c>
      <c r="R46" s="249">
        <f>PROMO!C10</f>
        <v>133.56</v>
      </c>
      <c r="S46" s="249">
        <f>R46+R46*G46</f>
        <v>150.9228</v>
      </c>
      <c r="T46" s="249">
        <f>E46*S46</f>
        <v>0</v>
      </c>
      <c r="U46" s="304">
        <f t="shared" si="49"/>
        <v>6.6780000000000008</v>
      </c>
      <c r="V46" s="249">
        <f t="shared" si="50"/>
        <v>126.88200000000001</v>
      </c>
      <c r="W46" s="304">
        <f t="shared" si="56"/>
        <v>7.5461400000000003</v>
      </c>
      <c r="X46" s="249">
        <f>S46-W46</f>
        <v>143.37665999999999</v>
      </c>
      <c r="Y46" s="182">
        <f t="shared" si="58"/>
        <v>0</v>
      </c>
      <c r="Z46" s="182">
        <f t="shared" si="59"/>
        <v>0</v>
      </c>
      <c r="AA46" s="182">
        <f t="shared" si="21"/>
        <v>0</v>
      </c>
      <c r="AB46" s="182">
        <f t="shared" si="60"/>
        <v>0</v>
      </c>
      <c r="AC46" s="178">
        <f t="shared" si="61"/>
        <v>0</v>
      </c>
      <c r="AD46" s="197">
        <f t="shared" si="22"/>
        <v>143.37665999999999</v>
      </c>
      <c r="AE46" s="133"/>
      <c r="AF46" s="133"/>
      <c r="AG46" s="133"/>
      <c r="AH46" s="133"/>
    </row>
    <row r="47" spans="1:395" ht="15" customHeight="1" x14ac:dyDescent="0.25">
      <c r="A47" s="135"/>
      <c r="B47" s="187" t="s">
        <v>34</v>
      </c>
      <c r="C47" s="319" t="s">
        <v>35</v>
      </c>
      <c r="D47" s="323" t="s">
        <v>930</v>
      </c>
      <c r="E47" s="300">
        <v>0</v>
      </c>
      <c r="F47" s="301">
        <f>IF($D$8="A VISTA",Planilha2!B33,Planilha2!B33)</f>
        <v>160.29999999999998</v>
      </c>
      <c r="G47" s="302">
        <v>0.13</v>
      </c>
      <c r="H47" s="301">
        <f>IFERROR(F47*(1+G47),#REF!)</f>
        <v>181.13899999999995</v>
      </c>
      <c r="I47" s="204">
        <f t="shared" si="14"/>
        <v>0</v>
      </c>
      <c r="J47" s="303">
        <f>SUM(E47*H47)</f>
        <v>0</v>
      </c>
      <c r="K47" s="178">
        <f>Planilha2!C33</f>
        <v>152.285</v>
      </c>
      <c r="L47" s="250">
        <f t="shared" si="51"/>
        <v>172.08204999999998</v>
      </c>
      <c r="M47" s="178">
        <f t="shared" si="52"/>
        <v>0</v>
      </c>
      <c r="N47" s="178">
        <f t="shared" si="53"/>
        <v>0</v>
      </c>
      <c r="O47" s="140"/>
      <c r="P47" s="176">
        <f t="shared" si="54"/>
        <v>181.13899999999995</v>
      </c>
      <c r="Q47" s="176">
        <f t="shared" si="55"/>
        <v>172.08204999999998</v>
      </c>
      <c r="R47" s="249">
        <f>PROMO!C12</f>
        <v>160.29999999999998</v>
      </c>
      <c r="S47" s="249">
        <f>R47+R47*G47</f>
        <v>181.13899999999998</v>
      </c>
      <c r="T47" s="249">
        <f>E47*S47</f>
        <v>0</v>
      </c>
      <c r="U47" s="304">
        <f t="shared" si="49"/>
        <v>8.0149999999999988</v>
      </c>
      <c r="V47" s="249">
        <f t="shared" si="50"/>
        <v>152.285</v>
      </c>
      <c r="W47" s="304">
        <f t="shared" si="56"/>
        <v>9.0569499999999987</v>
      </c>
      <c r="X47" s="249">
        <f>S47-W47</f>
        <v>172.08204999999998</v>
      </c>
      <c r="Y47" s="182">
        <f t="shared" si="58"/>
        <v>0</v>
      </c>
      <c r="Z47" s="182">
        <f t="shared" si="59"/>
        <v>0</v>
      </c>
      <c r="AA47" s="182">
        <f t="shared" si="21"/>
        <v>0</v>
      </c>
      <c r="AB47" s="182">
        <f t="shared" si="60"/>
        <v>0</v>
      </c>
      <c r="AC47" s="178">
        <f t="shared" si="61"/>
        <v>0</v>
      </c>
      <c r="AD47" s="197">
        <f t="shared" si="22"/>
        <v>172.08204999999998</v>
      </c>
      <c r="AE47" s="133"/>
      <c r="AF47" s="133"/>
      <c r="AG47" s="133"/>
      <c r="AH47" s="133"/>
    </row>
    <row r="48" spans="1:395" ht="15" customHeight="1" x14ac:dyDescent="0.25">
      <c r="A48" s="135"/>
      <c r="B48" s="183" t="s">
        <v>528</v>
      </c>
      <c r="C48" s="259">
        <v>7898670766332</v>
      </c>
      <c r="D48" s="190" t="s">
        <v>931</v>
      </c>
      <c r="E48" s="166">
        <v>0</v>
      </c>
      <c r="F48" s="167">
        <f>IF($D$8="A VISTA",Planilha2!B34,Planilha2!B34)</f>
        <v>122</v>
      </c>
      <c r="G48" s="168">
        <v>0.13</v>
      </c>
      <c r="H48" s="167">
        <f>IFERROR(F48*(1+G48),#REF!)</f>
        <v>137.85999999999999</v>
      </c>
      <c r="I48" s="167">
        <f t="shared" si="14"/>
        <v>0</v>
      </c>
      <c r="J48" s="169">
        <f>SUM(E48*H48)</f>
        <v>0</v>
      </c>
      <c r="K48" s="170">
        <f>Planilha2!C34</f>
        <v>115.9</v>
      </c>
      <c r="L48" s="184">
        <f t="shared" si="51"/>
        <v>130.96700000000001</v>
      </c>
      <c r="M48" s="170">
        <f t="shared" si="52"/>
        <v>0</v>
      </c>
      <c r="N48" s="170">
        <f t="shared" si="53"/>
        <v>0</v>
      </c>
      <c r="O48" s="140"/>
      <c r="P48" s="170">
        <f t="shared" si="54"/>
        <v>137.85999999999999</v>
      </c>
      <c r="Q48" s="170">
        <f t="shared" si="55"/>
        <v>130.96700000000001</v>
      </c>
      <c r="R48" s="185">
        <f>F48</f>
        <v>122</v>
      </c>
      <c r="S48" s="185">
        <f>H48</f>
        <v>137.85999999999999</v>
      </c>
      <c r="T48" s="185">
        <f>J48</f>
        <v>0</v>
      </c>
      <c r="U48" s="185">
        <f t="shared" si="49"/>
        <v>6.1000000000000005</v>
      </c>
      <c r="V48" s="185">
        <f t="shared" si="50"/>
        <v>115.9</v>
      </c>
      <c r="W48" s="185">
        <f t="shared" si="56"/>
        <v>6.8929999999999998</v>
      </c>
      <c r="X48" s="185">
        <f t="shared" si="57"/>
        <v>130.96700000000001</v>
      </c>
      <c r="Y48" s="170">
        <f t="shared" si="58"/>
        <v>0</v>
      </c>
      <c r="Z48" s="182">
        <f t="shared" si="59"/>
        <v>0</v>
      </c>
      <c r="AA48" s="170">
        <f t="shared" si="21"/>
        <v>0</v>
      </c>
      <c r="AB48" s="182">
        <f t="shared" si="60"/>
        <v>0</v>
      </c>
      <c r="AC48" s="182">
        <f t="shared" si="61"/>
        <v>0</v>
      </c>
      <c r="AD48" s="173">
        <f t="shared" si="22"/>
        <v>130.96700000000001</v>
      </c>
      <c r="AE48" s="133"/>
      <c r="AF48" s="133"/>
      <c r="AG48" s="133"/>
      <c r="AH48" s="133"/>
    </row>
    <row r="49" spans="1:395" x14ac:dyDescent="0.25">
      <c r="A49" s="135"/>
      <c r="B49" s="183" t="s">
        <v>614</v>
      </c>
      <c r="C49" s="191">
        <v>7898670767056</v>
      </c>
      <c r="D49" s="174" t="s">
        <v>932</v>
      </c>
      <c r="E49" s="166">
        <v>0</v>
      </c>
      <c r="F49" s="167">
        <f>IF($D$8="A VISTA",Planilha2!B35,Planilha2!B35)</f>
        <v>167</v>
      </c>
      <c r="G49" s="168">
        <v>0.13</v>
      </c>
      <c r="H49" s="167">
        <f>IFERROR(F49*(1+G49),#REF!)</f>
        <v>188.70999999999998</v>
      </c>
      <c r="I49" s="167">
        <f t="shared" si="14"/>
        <v>0</v>
      </c>
      <c r="J49" s="169">
        <f>SUM(E49*H49)</f>
        <v>0</v>
      </c>
      <c r="K49" s="170">
        <f>Planilha2!C35</f>
        <v>158.65</v>
      </c>
      <c r="L49" s="184">
        <f t="shared" si="51"/>
        <v>179.27450000000002</v>
      </c>
      <c r="M49" s="170">
        <f t="shared" si="52"/>
        <v>0</v>
      </c>
      <c r="N49" s="170">
        <f t="shared" si="53"/>
        <v>0</v>
      </c>
      <c r="O49" s="140"/>
      <c r="P49" s="170">
        <f t="shared" si="54"/>
        <v>188.70999999999998</v>
      </c>
      <c r="Q49" s="170">
        <f t="shared" si="55"/>
        <v>179.27450000000002</v>
      </c>
      <c r="R49" s="185">
        <f>F49</f>
        <v>167</v>
      </c>
      <c r="S49" s="185">
        <f>H49</f>
        <v>188.70999999999998</v>
      </c>
      <c r="T49" s="185">
        <f>J49</f>
        <v>0</v>
      </c>
      <c r="U49" s="185">
        <f t="shared" si="49"/>
        <v>8.35</v>
      </c>
      <c r="V49" s="185">
        <f t="shared" si="50"/>
        <v>158.65</v>
      </c>
      <c r="W49" s="185">
        <f t="shared" si="56"/>
        <v>9.4354999999999993</v>
      </c>
      <c r="X49" s="185">
        <f t="shared" si="57"/>
        <v>179.27450000000002</v>
      </c>
      <c r="Y49" s="170">
        <f t="shared" si="58"/>
        <v>0</v>
      </c>
      <c r="Z49" s="182">
        <f t="shared" si="59"/>
        <v>0</v>
      </c>
      <c r="AA49" s="170">
        <f t="shared" si="21"/>
        <v>0</v>
      </c>
      <c r="AB49" s="182">
        <f t="shared" si="60"/>
        <v>0</v>
      </c>
      <c r="AC49" s="182">
        <f t="shared" si="61"/>
        <v>0</v>
      </c>
      <c r="AD49" s="173">
        <f t="shared" si="22"/>
        <v>179.27450000000002</v>
      </c>
      <c r="AE49" s="133"/>
      <c r="AF49" s="133"/>
      <c r="AG49" s="133"/>
      <c r="AH49" s="133"/>
    </row>
    <row r="50" spans="1:395" ht="15" customHeight="1" x14ac:dyDescent="0.25">
      <c r="A50" s="135"/>
      <c r="B50" s="157" t="s">
        <v>12</v>
      </c>
      <c r="C50" s="158" t="s">
        <v>13</v>
      </c>
      <c r="D50" s="160" t="s">
        <v>489</v>
      </c>
      <c r="E50" s="160" t="s">
        <v>15</v>
      </c>
      <c r="F50" s="161" t="s">
        <v>607</v>
      </c>
      <c r="G50" s="162" t="s">
        <v>500</v>
      </c>
      <c r="H50" s="161" t="s">
        <v>609</v>
      </c>
      <c r="I50" s="161" t="s">
        <v>615</v>
      </c>
      <c r="J50" s="161" t="s">
        <v>16</v>
      </c>
      <c r="K50" s="161" t="s">
        <v>606</v>
      </c>
      <c r="L50" s="162" t="s">
        <v>908</v>
      </c>
      <c r="M50" s="161" t="s">
        <v>615</v>
      </c>
      <c r="N50" s="161" t="s">
        <v>16</v>
      </c>
      <c r="O50" s="140"/>
      <c r="P50" s="161" t="s">
        <v>853</v>
      </c>
      <c r="Q50" s="161" t="s">
        <v>606</v>
      </c>
      <c r="R50" s="162" t="s">
        <v>909</v>
      </c>
      <c r="S50" s="162" t="s">
        <v>891</v>
      </c>
      <c r="T50" s="162" t="s">
        <v>892</v>
      </c>
      <c r="U50" s="163" t="s">
        <v>894</v>
      </c>
      <c r="V50" s="162" t="s">
        <v>870</v>
      </c>
      <c r="W50" s="163" t="s">
        <v>895</v>
      </c>
      <c r="X50" s="162" t="s">
        <v>893</v>
      </c>
      <c r="Y50" s="161" t="s">
        <v>596</v>
      </c>
      <c r="Z50" s="161" t="s">
        <v>861</v>
      </c>
      <c r="AA50" s="161" t="s">
        <v>860</v>
      </c>
      <c r="AB50" s="161" t="s">
        <v>859</v>
      </c>
      <c r="AC50" s="161" t="s">
        <v>858</v>
      </c>
      <c r="AD50" s="161" t="s">
        <v>874</v>
      </c>
      <c r="AE50" s="133"/>
      <c r="AF50" s="133"/>
      <c r="AG50" s="133"/>
      <c r="AH50" s="133"/>
    </row>
    <row r="51" spans="1:395" ht="15" customHeight="1" x14ac:dyDescent="0.25">
      <c r="A51" s="135"/>
      <c r="B51" s="62" t="s">
        <v>472</v>
      </c>
      <c r="C51" s="165">
        <v>7898670766202</v>
      </c>
      <c r="D51" s="65" t="s">
        <v>933</v>
      </c>
      <c r="E51" s="166">
        <v>0</v>
      </c>
      <c r="F51" s="167">
        <f>IF($D$8="A VISTA",Planilha2!B37,Planilha2!B37)</f>
        <v>66.900000000000006</v>
      </c>
      <c r="G51" s="168">
        <v>0.13</v>
      </c>
      <c r="H51" s="167">
        <f>IFERROR(F51*(1+G51),#REF!)</f>
        <v>75.596999999999994</v>
      </c>
      <c r="I51" s="167">
        <f t="shared" si="14"/>
        <v>0</v>
      </c>
      <c r="J51" s="169">
        <f>SUM(E51*H51)</f>
        <v>0</v>
      </c>
      <c r="K51" s="170">
        <f>Planilha2!C37</f>
        <v>63.555000000000007</v>
      </c>
      <c r="L51" s="171">
        <f>K51*G51+K51</f>
        <v>71.817150000000012</v>
      </c>
      <c r="M51" s="170">
        <f>K51*E51</f>
        <v>0</v>
      </c>
      <c r="N51" s="170">
        <f>L51*E51</f>
        <v>0</v>
      </c>
      <c r="O51" s="140"/>
      <c r="P51" s="170">
        <f>H51</f>
        <v>75.596999999999994</v>
      </c>
      <c r="Q51" s="170">
        <f>L51</f>
        <v>71.817150000000012</v>
      </c>
      <c r="R51" s="172">
        <f>F51</f>
        <v>66.900000000000006</v>
      </c>
      <c r="S51" s="170">
        <f>H51</f>
        <v>75.596999999999994</v>
      </c>
      <c r="T51" s="185">
        <f>J51</f>
        <v>0</v>
      </c>
      <c r="U51" s="185">
        <f t="shared" si="49"/>
        <v>3.3450000000000006</v>
      </c>
      <c r="V51" s="185">
        <f t="shared" si="50"/>
        <v>63.555000000000007</v>
      </c>
      <c r="W51" s="185">
        <f t="shared" ref="W51:W84" si="62">S51*5%</f>
        <v>3.7798499999999997</v>
      </c>
      <c r="X51" s="172">
        <f>L51</f>
        <v>71.817150000000012</v>
      </c>
      <c r="Y51" s="170">
        <f>X51*E51</f>
        <v>0</v>
      </c>
      <c r="Z51" s="182">
        <f>S51*E51</f>
        <v>0</v>
      </c>
      <c r="AA51" s="170">
        <f t="shared" si="21"/>
        <v>0</v>
      </c>
      <c r="AB51" s="182">
        <f>S51*E51</f>
        <v>0</v>
      </c>
      <c r="AC51" s="182">
        <f>X51*E51</f>
        <v>0</v>
      </c>
      <c r="AD51" s="173">
        <f t="shared" si="22"/>
        <v>71.817150000000012</v>
      </c>
      <c r="AE51" s="133"/>
      <c r="AF51" s="133"/>
      <c r="AG51" s="133"/>
      <c r="AH51" s="133"/>
    </row>
    <row r="52" spans="1:395" ht="15" customHeight="1" x14ac:dyDescent="0.25">
      <c r="A52" s="135"/>
      <c r="B52" s="62" t="s">
        <v>36</v>
      </c>
      <c r="C52" s="192" t="s">
        <v>37</v>
      </c>
      <c r="D52" s="66" t="s">
        <v>934</v>
      </c>
      <c r="E52" s="166">
        <v>0</v>
      </c>
      <c r="F52" s="167">
        <f>IF($D$8="A VISTA",Planilha2!B38,Planilha2!B38)</f>
        <v>79.900000000000006</v>
      </c>
      <c r="G52" s="168">
        <v>0.13</v>
      </c>
      <c r="H52" s="167">
        <f>IFERROR(F52*(1+G52),#REF!)</f>
        <v>90.286999999999992</v>
      </c>
      <c r="I52" s="167">
        <f t="shared" si="14"/>
        <v>0</v>
      </c>
      <c r="J52" s="169">
        <f>SUM(E52*H52)</f>
        <v>0</v>
      </c>
      <c r="K52" s="170">
        <f>Planilha2!C38</f>
        <v>75.905000000000001</v>
      </c>
      <c r="L52" s="171">
        <f>K52*G52+K52</f>
        <v>85.772649999999999</v>
      </c>
      <c r="M52" s="170">
        <f>K52*E52</f>
        <v>0</v>
      </c>
      <c r="N52" s="170">
        <f>L52*E52</f>
        <v>0</v>
      </c>
      <c r="O52" s="140"/>
      <c r="P52" s="170">
        <f>H52</f>
        <v>90.286999999999992</v>
      </c>
      <c r="Q52" s="170">
        <f>L52</f>
        <v>85.772649999999999</v>
      </c>
      <c r="R52" s="172">
        <f>F52</f>
        <v>79.900000000000006</v>
      </c>
      <c r="S52" s="170">
        <f>H52</f>
        <v>90.286999999999992</v>
      </c>
      <c r="T52" s="185">
        <f>J52</f>
        <v>0</v>
      </c>
      <c r="U52" s="185">
        <f t="shared" si="49"/>
        <v>3.9950000000000006</v>
      </c>
      <c r="V52" s="185">
        <f t="shared" si="50"/>
        <v>75.905000000000001</v>
      </c>
      <c r="W52" s="185">
        <f t="shared" si="62"/>
        <v>4.5143499999999994</v>
      </c>
      <c r="X52" s="172">
        <f>L52</f>
        <v>85.772649999999999</v>
      </c>
      <c r="Y52" s="170">
        <f>X52*E52</f>
        <v>0</v>
      </c>
      <c r="Z52" s="182">
        <f>S52*E52</f>
        <v>0</v>
      </c>
      <c r="AA52" s="170">
        <f t="shared" si="21"/>
        <v>0</v>
      </c>
      <c r="AB52" s="182">
        <f>S52*E52</f>
        <v>0</v>
      </c>
      <c r="AC52" s="182">
        <f>X52*E52</f>
        <v>0</v>
      </c>
      <c r="AD52" s="173">
        <f t="shared" si="22"/>
        <v>85.772649999999999</v>
      </c>
      <c r="AE52" s="133"/>
      <c r="AF52" s="133"/>
      <c r="AG52" s="133"/>
      <c r="AH52" s="133"/>
    </row>
    <row r="53" spans="1:395" x14ac:dyDescent="0.25">
      <c r="A53" s="135"/>
      <c r="B53" s="62" t="s">
        <v>38</v>
      </c>
      <c r="C53" s="192" t="s">
        <v>39</v>
      </c>
      <c r="D53" s="66" t="s">
        <v>935</v>
      </c>
      <c r="E53" s="166">
        <v>0</v>
      </c>
      <c r="F53" s="167">
        <f>IF($D$8="A VISTA",Planilha2!B39,Planilha2!B39)</f>
        <v>72.900000000000006</v>
      </c>
      <c r="G53" s="168">
        <v>0.13</v>
      </c>
      <c r="H53" s="167">
        <f>IFERROR(F53*(1+G53),#REF!)</f>
        <v>82.376999999999995</v>
      </c>
      <c r="I53" s="167">
        <f t="shared" si="14"/>
        <v>0</v>
      </c>
      <c r="J53" s="169">
        <f>SUM(E53*H53)</f>
        <v>0</v>
      </c>
      <c r="K53" s="170">
        <f>Planilha2!C39</f>
        <v>69.25500000000001</v>
      </c>
      <c r="L53" s="171">
        <f>K53*G53+K53</f>
        <v>78.258150000000015</v>
      </c>
      <c r="M53" s="170">
        <f>K53*E53</f>
        <v>0</v>
      </c>
      <c r="N53" s="170">
        <f>L53*E53</f>
        <v>0</v>
      </c>
      <c r="O53" s="140"/>
      <c r="P53" s="170">
        <f>H53</f>
        <v>82.376999999999995</v>
      </c>
      <c r="Q53" s="170">
        <f>L53</f>
        <v>78.258150000000015</v>
      </c>
      <c r="R53" s="172">
        <f>F53</f>
        <v>72.900000000000006</v>
      </c>
      <c r="S53" s="170">
        <f>H53</f>
        <v>82.376999999999995</v>
      </c>
      <c r="T53" s="185">
        <f>J53</f>
        <v>0</v>
      </c>
      <c r="U53" s="185">
        <f t="shared" si="49"/>
        <v>3.6450000000000005</v>
      </c>
      <c r="V53" s="185">
        <f t="shared" si="50"/>
        <v>69.25500000000001</v>
      </c>
      <c r="W53" s="185">
        <f t="shared" si="62"/>
        <v>4.1188500000000001</v>
      </c>
      <c r="X53" s="172">
        <f>L53</f>
        <v>78.258150000000015</v>
      </c>
      <c r="Y53" s="170">
        <f>X53*E53</f>
        <v>0</v>
      </c>
      <c r="Z53" s="182">
        <f>S53*E53</f>
        <v>0</v>
      </c>
      <c r="AA53" s="170">
        <f t="shared" si="21"/>
        <v>0</v>
      </c>
      <c r="AB53" s="182">
        <f>S53*E53</f>
        <v>0</v>
      </c>
      <c r="AC53" s="182">
        <f>X53*E53</f>
        <v>0</v>
      </c>
      <c r="AD53" s="173">
        <f t="shared" si="22"/>
        <v>78.258150000000015</v>
      </c>
      <c r="AE53" s="133"/>
      <c r="AF53" s="133"/>
      <c r="AG53" s="133"/>
      <c r="AH53" s="133"/>
    </row>
    <row r="54" spans="1:395" x14ac:dyDescent="0.25">
      <c r="A54" s="135"/>
      <c r="B54" s="157" t="s">
        <v>12</v>
      </c>
      <c r="C54" s="158" t="s">
        <v>13</v>
      </c>
      <c r="D54" s="160" t="s">
        <v>319</v>
      </c>
      <c r="E54" s="160" t="s">
        <v>15</v>
      </c>
      <c r="F54" s="161" t="s">
        <v>607</v>
      </c>
      <c r="G54" s="162" t="s">
        <v>500</v>
      </c>
      <c r="H54" s="161" t="s">
        <v>609</v>
      </c>
      <c r="I54" s="161" t="s">
        <v>615</v>
      </c>
      <c r="J54" s="161" t="s">
        <v>16</v>
      </c>
      <c r="K54" s="161" t="s">
        <v>606</v>
      </c>
      <c r="L54" s="162" t="s">
        <v>908</v>
      </c>
      <c r="M54" s="161" t="s">
        <v>615</v>
      </c>
      <c r="N54" s="161" t="s">
        <v>16</v>
      </c>
      <c r="O54" s="140"/>
      <c r="P54" s="161" t="s">
        <v>853</v>
      </c>
      <c r="Q54" s="161" t="s">
        <v>606</v>
      </c>
      <c r="R54" s="162" t="s">
        <v>909</v>
      </c>
      <c r="S54" s="162" t="s">
        <v>891</v>
      </c>
      <c r="T54" s="162" t="s">
        <v>892</v>
      </c>
      <c r="U54" s="163" t="s">
        <v>894</v>
      </c>
      <c r="V54" s="162" t="s">
        <v>870</v>
      </c>
      <c r="W54" s="163" t="s">
        <v>895</v>
      </c>
      <c r="X54" s="162" t="s">
        <v>893</v>
      </c>
      <c r="Y54" s="161" t="s">
        <v>596</v>
      </c>
      <c r="Z54" s="161" t="s">
        <v>861</v>
      </c>
      <c r="AA54" s="161" t="s">
        <v>860</v>
      </c>
      <c r="AB54" s="161" t="s">
        <v>859</v>
      </c>
      <c r="AC54" s="161" t="s">
        <v>858</v>
      </c>
      <c r="AD54" s="161" t="s">
        <v>874</v>
      </c>
      <c r="AE54" s="133"/>
      <c r="AF54" s="133"/>
      <c r="AG54" s="133"/>
      <c r="AH54" s="133"/>
    </row>
    <row r="55" spans="1:395" ht="15" customHeight="1" x14ac:dyDescent="0.25">
      <c r="A55" s="135"/>
      <c r="B55" s="62" t="s">
        <v>257</v>
      </c>
      <c r="C55" s="193" t="s">
        <v>258</v>
      </c>
      <c r="D55" s="194" t="s">
        <v>936</v>
      </c>
      <c r="E55" s="166">
        <v>0</v>
      </c>
      <c r="F55" s="167">
        <f>IF($D$8="A VISTA",Planilha2!B40,Planilha2!B40)</f>
        <v>29.9</v>
      </c>
      <c r="G55" s="168">
        <v>0.13</v>
      </c>
      <c r="H55" s="167">
        <f>IFERROR(F55*(1+G55),#REF!)</f>
        <v>33.786999999999992</v>
      </c>
      <c r="I55" s="167">
        <f t="shared" si="14"/>
        <v>0</v>
      </c>
      <c r="J55" s="169">
        <f>SUM(E55*H55)</f>
        <v>0</v>
      </c>
      <c r="K55" s="170">
        <f>Planilha2!C40</f>
        <v>28.404999999999998</v>
      </c>
      <c r="L55" s="171">
        <f>K55*G55+K55</f>
        <v>32.097649999999994</v>
      </c>
      <c r="M55" s="170">
        <f>K55*E55</f>
        <v>0</v>
      </c>
      <c r="N55" s="170">
        <f>L55*E55</f>
        <v>0</v>
      </c>
      <c r="O55" s="140"/>
      <c r="P55" s="170">
        <f>H55</f>
        <v>33.786999999999992</v>
      </c>
      <c r="Q55" s="170">
        <f>L55</f>
        <v>32.097649999999994</v>
      </c>
      <c r="R55" s="195">
        <f>F55</f>
        <v>29.9</v>
      </c>
      <c r="S55" s="195">
        <f>H55</f>
        <v>33.786999999999992</v>
      </c>
      <c r="T55" s="185">
        <f>J55</f>
        <v>0</v>
      </c>
      <c r="U55" s="185">
        <f t="shared" si="49"/>
        <v>1.4950000000000001</v>
      </c>
      <c r="V55" s="185">
        <f t="shared" si="50"/>
        <v>28.404999999999998</v>
      </c>
      <c r="W55" s="185">
        <f t="shared" si="62"/>
        <v>1.6893499999999997</v>
      </c>
      <c r="X55" s="172">
        <f>L55</f>
        <v>32.097649999999994</v>
      </c>
      <c r="Y55" s="170">
        <f>X55*E55</f>
        <v>0</v>
      </c>
      <c r="Z55" s="182">
        <f>S55*E55</f>
        <v>0</v>
      </c>
      <c r="AA55" s="182">
        <f t="shared" si="21"/>
        <v>0</v>
      </c>
      <c r="AB55" s="182">
        <f>S55*E55</f>
        <v>0</v>
      </c>
      <c r="AC55" s="182">
        <f>X55*E55</f>
        <v>0</v>
      </c>
      <c r="AD55" s="173">
        <f t="shared" si="22"/>
        <v>32.097649999999994</v>
      </c>
      <c r="AE55" s="133"/>
      <c r="AF55" s="133"/>
      <c r="AG55" s="133"/>
      <c r="AH55" s="133"/>
    </row>
    <row r="56" spans="1:395" ht="15" customHeight="1" x14ac:dyDescent="0.25">
      <c r="A56" s="135"/>
      <c r="B56" s="183" t="s">
        <v>42</v>
      </c>
      <c r="C56" s="62" t="s">
        <v>43</v>
      </c>
      <c r="D56" s="194" t="s">
        <v>937</v>
      </c>
      <c r="E56" s="166">
        <v>0</v>
      </c>
      <c r="F56" s="167">
        <f>IF($D$8="A VISTA",Planilha2!B41,Planilha2!B41)</f>
        <v>29.9</v>
      </c>
      <c r="G56" s="168">
        <v>0.13</v>
      </c>
      <c r="H56" s="167">
        <f>IFERROR(F56*(1+G56),#REF!)</f>
        <v>33.786999999999992</v>
      </c>
      <c r="I56" s="167">
        <f t="shared" si="14"/>
        <v>0</v>
      </c>
      <c r="J56" s="169">
        <f>SUM(E56*H56)</f>
        <v>0</v>
      </c>
      <c r="K56" s="170">
        <f>Planilha2!C41</f>
        <v>28.404999999999998</v>
      </c>
      <c r="L56" s="171">
        <f>K56*G56+K56</f>
        <v>32.097649999999994</v>
      </c>
      <c r="M56" s="170">
        <f>K56*E56</f>
        <v>0</v>
      </c>
      <c r="N56" s="170">
        <f>L56*E56</f>
        <v>0</v>
      </c>
      <c r="O56" s="140"/>
      <c r="P56" s="170">
        <f>H56</f>
        <v>33.786999999999992</v>
      </c>
      <c r="Q56" s="170">
        <f>L56</f>
        <v>32.097649999999994</v>
      </c>
      <c r="R56" s="172">
        <f>F56</f>
        <v>29.9</v>
      </c>
      <c r="S56" s="172">
        <f>H56</f>
        <v>33.786999999999992</v>
      </c>
      <c r="T56" s="185">
        <f>J56</f>
        <v>0</v>
      </c>
      <c r="U56" s="185">
        <f t="shared" si="49"/>
        <v>1.4950000000000001</v>
      </c>
      <c r="V56" s="185">
        <f t="shared" si="50"/>
        <v>28.404999999999998</v>
      </c>
      <c r="W56" s="185">
        <f t="shared" si="62"/>
        <v>1.6893499999999997</v>
      </c>
      <c r="X56" s="172">
        <f>L56</f>
        <v>32.097649999999994</v>
      </c>
      <c r="Y56" s="170">
        <f>X56*E56</f>
        <v>0</v>
      </c>
      <c r="Z56" s="182">
        <f>S56*E56</f>
        <v>0</v>
      </c>
      <c r="AA56" s="182">
        <f t="shared" si="21"/>
        <v>0</v>
      </c>
      <c r="AB56" s="182">
        <f>S56*E56</f>
        <v>0</v>
      </c>
      <c r="AC56" s="182">
        <f>X56*E56</f>
        <v>0</v>
      </c>
      <c r="AD56" s="173">
        <f t="shared" si="22"/>
        <v>32.097649999999994</v>
      </c>
      <c r="AE56" s="133"/>
      <c r="AF56" s="133"/>
      <c r="AG56" s="133"/>
      <c r="AH56" s="133"/>
    </row>
    <row r="57" spans="1:395" s="28" customFormat="1" ht="15" customHeight="1" x14ac:dyDescent="0.25">
      <c r="A57" s="135"/>
      <c r="B57" s="385" t="s">
        <v>998</v>
      </c>
      <c r="C57" s="401">
        <v>7898670767179</v>
      </c>
      <c r="D57" s="351" t="s">
        <v>1259</v>
      </c>
      <c r="E57" s="402">
        <v>0</v>
      </c>
      <c r="F57" s="403">
        <f>IF($D$8="A VISTA",Planilha2!B42,Planilha2!B42)</f>
        <v>29.9</v>
      </c>
      <c r="G57" s="404">
        <v>0.13</v>
      </c>
      <c r="H57" s="403">
        <f>IFERROR(F57*(1+G57),#REF!)</f>
        <v>33.786999999999992</v>
      </c>
      <c r="I57" s="403">
        <f t="shared" ref="I57" si="63">F57*E57</f>
        <v>0</v>
      </c>
      <c r="J57" s="405">
        <f>SUM(E57*H57)</f>
        <v>0</v>
      </c>
      <c r="K57" s="176">
        <f>Planilha2!C42</f>
        <v>28.404999999999998</v>
      </c>
      <c r="L57" s="171">
        <f>K57*G57+K57</f>
        <v>32.097649999999994</v>
      </c>
      <c r="M57" s="176">
        <f>K57*E57</f>
        <v>0</v>
      </c>
      <c r="N57" s="176">
        <f>L57*E57</f>
        <v>0</v>
      </c>
      <c r="O57" s="140"/>
      <c r="P57" s="176"/>
      <c r="Q57" s="176"/>
      <c r="R57" s="172">
        <f>F57</f>
        <v>29.9</v>
      </c>
      <c r="S57" s="172">
        <f>H57</f>
        <v>33.786999999999992</v>
      </c>
      <c r="T57" s="185">
        <f>J57</f>
        <v>0</v>
      </c>
      <c r="U57" s="185">
        <f t="shared" si="49"/>
        <v>1.4950000000000001</v>
      </c>
      <c r="V57" s="185">
        <f t="shared" si="50"/>
        <v>28.404999999999998</v>
      </c>
      <c r="W57" s="185">
        <f t="shared" si="62"/>
        <v>1.6893499999999997</v>
      </c>
      <c r="X57" s="172">
        <f>L57</f>
        <v>32.097649999999994</v>
      </c>
      <c r="Y57" s="176">
        <f>X57*E57</f>
        <v>0</v>
      </c>
      <c r="Z57" s="176">
        <f>S57*E57</f>
        <v>0</v>
      </c>
      <c r="AA57" s="176">
        <f t="shared" ref="AA57" si="64">Z57*5%</f>
        <v>0</v>
      </c>
      <c r="AB57" s="176">
        <f>S57*E57</f>
        <v>0</v>
      </c>
      <c r="AC57" s="176">
        <f>X57*E57</f>
        <v>0</v>
      </c>
      <c r="AD57" s="267">
        <f t="shared" ref="AD57" si="65">X57-AB57</f>
        <v>32.097649999999994</v>
      </c>
      <c r="AE57" s="133"/>
      <c r="AF57" s="133"/>
      <c r="AG57" s="133"/>
      <c r="AH57" s="133"/>
    </row>
    <row r="58" spans="1:395" ht="15" customHeight="1" x14ac:dyDescent="0.25">
      <c r="A58" s="135"/>
      <c r="B58" s="157" t="s">
        <v>12</v>
      </c>
      <c r="C58" s="141" t="s">
        <v>13</v>
      </c>
      <c r="D58" s="160" t="s">
        <v>288</v>
      </c>
      <c r="E58" s="160" t="s">
        <v>15</v>
      </c>
      <c r="F58" s="161" t="s">
        <v>607</v>
      </c>
      <c r="G58" s="162" t="s">
        <v>500</v>
      </c>
      <c r="H58" s="161" t="s">
        <v>609</v>
      </c>
      <c r="I58" s="161" t="s">
        <v>615</v>
      </c>
      <c r="J58" s="161" t="s">
        <v>16</v>
      </c>
      <c r="K58" s="161" t="s">
        <v>606</v>
      </c>
      <c r="L58" s="162" t="s">
        <v>908</v>
      </c>
      <c r="M58" s="161" t="s">
        <v>615</v>
      </c>
      <c r="N58" s="161" t="s">
        <v>16</v>
      </c>
      <c r="O58" s="140"/>
      <c r="P58" s="161" t="s">
        <v>853</v>
      </c>
      <c r="Q58" s="161" t="s">
        <v>606</v>
      </c>
      <c r="R58" s="162" t="s">
        <v>909</v>
      </c>
      <c r="S58" s="162" t="s">
        <v>891</v>
      </c>
      <c r="T58" s="162" t="s">
        <v>892</v>
      </c>
      <c r="U58" s="163" t="s">
        <v>894</v>
      </c>
      <c r="V58" s="162" t="s">
        <v>870</v>
      </c>
      <c r="W58" s="163" t="s">
        <v>895</v>
      </c>
      <c r="X58" s="162" t="s">
        <v>893</v>
      </c>
      <c r="Y58" s="161" t="s">
        <v>596</v>
      </c>
      <c r="Z58" s="161" t="s">
        <v>861</v>
      </c>
      <c r="AA58" s="161" t="s">
        <v>860</v>
      </c>
      <c r="AB58" s="161" t="s">
        <v>859</v>
      </c>
      <c r="AC58" s="161" t="s">
        <v>858</v>
      </c>
      <c r="AD58" s="161" t="s">
        <v>874</v>
      </c>
      <c r="AE58" s="133"/>
      <c r="AF58" s="133"/>
      <c r="AG58" s="133"/>
      <c r="AH58" s="133"/>
    </row>
    <row r="59" spans="1:395" s="86" customFormat="1" ht="14.45" customHeight="1" x14ac:dyDescent="0.25">
      <c r="A59" s="135"/>
      <c r="B59" s="64" t="s">
        <v>425</v>
      </c>
      <c r="C59" s="64" t="s">
        <v>426</v>
      </c>
      <c r="D59" s="407" t="s">
        <v>503</v>
      </c>
      <c r="E59" s="408">
        <v>0</v>
      </c>
      <c r="F59" s="204">
        <f>IF($D$8="A VISTA",Planilha2!B44,Planilha2!B44)</f>
        <v>169.31</v>
      </c>
      <c r="G59" s="205">
        <v>0.13</v>
      </c>
      <c r="H59" s="204">
        <f>IFERROR(F59*(1+G59),#REF!)</f>
        <v>191.32029999999997</v>
      </c>
      <c r="I59" s="204">
        <f t="shared" si="14"/>
        <v>0</v>
      </c>
      <c r="J59" s="206">
        <f t="shared" ref="J59:J67" si="66">SUM(E59*H59)</f>
        <v>0</v>
      </c>
      <c r="K59" s="176">
        <f>Planilha2!C44</f>
        <v>160.84450000000001</v>
      </c>
      <c r="L59" s="171">
        <f t="shared" ref="L59:L67" si="67">K59*G59+K59</f>
        <v>181.75428500000001</v>
      </c>
      <c r="M59" s="176">
        <f t="shared" ref="M59:M67" si="68">K59*E59</f>
        <v>0</v>
      </c>
      <c r="N59" s="176">
        <f t="shared" ref="N59:N67" si="69">L59*E59</f>
        <v>0</v>
      </c>
      <c r="O59" s="140"/>
      <c r="P59" s="180">
        <f t="shared" ref="P59:P67" si="70">H59</f>
        <v>191.32029999999997</v>
      </c>
      <c r="Q59" s="180">
        <f t="shared" ref="Q59:Q67" si="71">L59</f>
        <v>181.75428500000001</v>
      </c>
      <c r="R59" s="172">
        <f t="shared" ref="R59:R67" si="72">F59</f>
        <v>169.31</v>
      </c>
      <c r="S59" s="172">
        <f t="shared" ref="S59:S67" si="73">R59+R59*G59</f>
        <v>191.3203</v>
      </c>
      <c r="T59" s="172">
        <f t="shared" ref="T59:T67" si="74">E59*S59</f>
        <v>0</v>
      </c>
      <c r="U59" s="172">
        <f t="shared" si="49"/>
        <v>8.4655000000000005</v>
      </c>
      <c r="V59" s="172">
        <f t="shared" si="50"/>
        <v>160.84450000000001</v>
      </c>
      <c r="W59" s="172">
        <f t="shared" si="62"/>
        <v>9.5660150000000002</v>
      </c>
      <c r="X59" s="172">
        <f>S59-W59</f>
        <v>181.75428500000001</v>
      </c>
      <c r="Y59" s="176">
        <f t="shared" ref="Y59:Y67" si="75">X59*E59</f>
        <v>0</v>
      </c>
      <c r="Z59" s="182">
        <f t="shared" ref="Z59:Z67" si="76">S59*E59</f>
        <v>0</v>
      </c>
      <c r="AA59" s="182">
        <f t="shared" si="21"/>
        <v>0</v>
      </c>
      <c r="AB59" s="182">
        <f t="shared" ref="AB59:AB67" si="77">S59*E59</f>
        <v>0</v>
      </c>
      <c r="AC59" s="182">
        <f t="shared" ref="AC59:AC67" si="78">X59*E59</f>
        <v>0</v>
      </c>
      <c r="AD59" s="173">
        <f t="shared" si="22"/>
        <v>181.75428500000001</v>
      </c>
      <c r="AE59" s="133"/>
      <c r="AF59" s="133"/>
      <c r="AG59" s="133"/>
      <c r="AH59" s="133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  <c r="FS59" s="28"/>
      <c r="FT59" s="28"/>
      <c r="FU59" s="28"/>
      <c r="FV59" s="28"/>
      <c r="FW59" s="28"/>
      <c r="FX59" s="28"/>
      <c r="FY59" s="28"/>
      <c r="FZ59" s="28"/>
      <c r="GA59" s="28"/>
      <c r="GB59" s="28"/>
      <c r="GC59" s="28"/>
      <c r="GD59" s="28"/>
      <c r="GE59" s="28"/>
      <c r="GF59" s="28"/>
      <c r="GG59" s="28"/>
      <c r="GH59" s="28"/>
      <c r="GI59" s="28"/>
      <c r="GJ59" s="28"/>
      <c r="GK59" s="28"/>
      <c r="GL59" s="28"/>
      <c r="GM59" s="28"/>
      <c r="GN59" s="28"/>
      <c r="GO59" s="28"/>
      <c r="GP59" s="28"/>
      <c r="GQ59" s="28"/>
      <c r="GR59" s="28"/>
      <c r="GS59" s="28"/>
      <c r="GT59" s="28"/>
      <c r="GU59" s="28"/>
      <c r="GV59" s="28"/>
      <c r="GW59" s="28"/>
      <c r="GX59" s="28"/>
      <c r="GY59" s="28"/>
      <c r="GZ59" s="28"/>
      <c r="HA59" s="28"/>
      <c r="HB59" s="28"/>
      <c r="HC59" s="28"/>
      <c r="HD59" s="28"/>
      <c r="HE59" s="28"/>
      <c r="HF59" s="28"/>
      <c r="HG59" s="28"/>
      <c r="HH59" s="28"/>
      <c r="HI59" s="28"/>
      <c r="HJ59" s="28"/>
      <c r="HK59" s="28"/>
      <c r="HL59" s="28"/>
      <c r="HM59" s="28"/>
      <c r="HN59" s="28"/>
      <c r="HO59" s="28"/>
      <c r="HP59" s="28"/>
      <c r="HQ59" s="28"/>
      <c r="HR59" s="28"/>
      <c r="HS59" s="28"/>
      <c r="HT59" s="28"/>
      <c r="HU59" s="28"/>
      <c r="HV59" s="28"/>
      <c r="HW59" s="28"/>
      <c r="HX59" s="28"/>
      <c r="HY59" s="28"/>
      <c r="HZ59" s="28"/>
      <c r="IA59" s="28"/>
      <c r="IB59" s="28"/>
      <c r="IC59" s="28"/>
      <c r="ID59" s="28"/>
      <c r="IE59" s="28"/>
      <c r="IF59" s="28"/>
      <c r="IG59" s="28"/>
      <c r="IH59" s="28"/>
      <c r="II59" s="28"/>
      <c r="IJ59" s="28"/>
      <c r="IK59" s="28"/>
      <c r="IL59" s="28"/>
      <c r="IM59" s="28"/>
      <c r="IN59" s="28"/>
      <c r="IO59" s="28"/>
      <c r="IP59" s="28"/>
      <c r="IQ59" s="28"/>
      <c r="IR59" s="28"/>
      <c r="IS59" s="28"/>
      <c r="IT59" s="28"/>
      <c r="IU59" s="28"/>
      <c r="IV59" s="28"/>
      <c r="IW59" s="28"/>
      <c r="IX59" s="28"/>
      <c r="IY59" s="28"/>
      <c r="IZ59" s="28"/>
      <c r="JA59" s="28"/>
      <c r="JB59" s="28"/>
      <c r="JC59" s="28"/>
      <c r="JD59" s="28"/>
      <c r="JE59" s="28"/>
      <c r="JF59" s="28"/>
      <c r="JG59" s="28"/>
      <c r="JH59" s="28"/>
      <c r="JI59" s="28"/>
      <c r="JJ59" s="28"/>
      <c r="JK59" s="28"/>
      <c r="JL59" s="28"/>
      <c r="JM59" s="28"/>
      <c r="JN59" s="28"/>
      <c r="JO59" s="28"/>
      <c r="JP59" s="28"/>
      <c r="JQ59" s="28"/>
      <c r="JR59" s="28"/>
      <c r="JS59" s="28"/>
      <c r="JT59" s="28"/>
      <c r="JU59" s="28"/>
      <c r="JV59" s="28"/>
      <c r="JW59" s="28"/>
      <c r="JX59" s="28"/>
      <c r="JY59" s="28"/>
      <c r="JZ59" s="28"/>
      <c r="KA59" s="28"/>
      <c r="KB59" s="28"/>
      <c r="KC59" s="28"/>
      <c r="KD59" s="28"/>
      <c r="KE59" s="28"/>
      <c r="KF59" s="28"/>
      <c r="KG59" s="28"/>
      <c r="KH59" s="28"/>
      <c r="KI59" s="28"/>
      <c r="KJ59" s="28"/>
      <c r="KK59" s="28"/>
      <c r="KL59" s="28"/>
      <c r="KM59" s="28"/>
      <c r="KN59" s="28"/>
      <c r="KO59" s="28"/>
      <c r="KP59" s="28"/>
      <c r="KQ59" s="28"/>
      <c r="KR59" s="28"/>
      <c r="KS59" s="28"/>
      <c r="KT59" s="28"/>
      <c r="KU59" s="28"/>
      <c r="KV59" s="28"/>
      <c r="KW59" s="28"/>
      <c r="KX59" s="28"/>
      <c r="KY59" s="28"/>
      <c r="KZ59" s="28"/>
      <c r="LA59" s="28"/>
      <c r="LB59" s="28"/>
      <c r="LC59" s="28"/>
      <c r="LD59" s="28"/>
      <c r="LE59" s="28"/>
      <c r="LF59" s="28"/>
      <c r="LG59" s="28"/>
      <c r="LH59" s="28"/>
      <c r="LI59" s="28"/>
      <c r="LJ59" s="28"/>
      <c r="LK59" s="28"/>
      <c r="LL59" s="28"/>
      <c r="LM59" s="28"/>
      <c r="LN59" s="28"/>
      <c r="LO59" s="28"/>
      <c r="LP59" s="28"/>
      <c r="LQ59" s="28"/>
      <c r="LR59" s="28"/>
      <c r="LS59" s="28"/>
      <c r="LT59" s="28"/>
      <c r="LU59" s="28"/>
      <c r="LV59" s="28"/>
      <c r="LW59" s="28"/>
      <c r="LX59" s="28"/>
      <c r="LY59" s="28"/>
      <c r="LZ59" s="28"/>
      <c r="MA59" s="28"/>
      <c r="MB59" s="28"/>
      <c r="MC59" s="28"/>
      <c r="MD59" s="28"/>
      <c r="ME59" s="28"/>
      <c r="MF59" s="28"/>
      <c r="MG59" s="28"/>
      <c r="MH59" s="28"/>
      <c r="MI59" s="28"/>
      <c r="MJ59" s="28"/>
      <c r="MK59" s="28"/>
      <c r="ML59" s="28"/>
      <c r="MM59" s="28"/>
      <c r="MN59" s="28"/>
      <c r="MO59" s="28"/>
      <c r="MP59" s="28"/>
      <c r="MQ59" s="28"/>
      <c r="MR59" s="28"/>
      <c r="MS59" s="28"/>
      <c r="MT59" s="28"/>
      <c r="MU59" s="28"/>
      <c r="MV59" s="28"/>
      <c r="MW59" s="28"/>
      <c r="MX59" s="28"/>
      <c r="MY59" s="28"/>
      <c r="MZ59" s="28"/>
      <c r="NA59" s="28"/>
      <c r="NB59" s="28"/>
      <c r="NC59" s="28"/>
      <c r="ND59" s="28"/>
      <c r="NE59" s="28"/>
      <c r="NF59" s="28"/>
      <c r="NG59" s="28"/>
      <c r="NH59" s="28"/>
      <c r="NI59" s="28"/>
      <c r="NJ59" s="28"/>
      <c r="NK59" s="28"/>
      <c r="NL59" s="28"/>
      <c r="NM59" s="28"/>
      <c r="NN59" s="28"/>
      <c r="NO59" s="28"/>
      <c r="NP59" s="28"/>
      <c r="NQ59" s="28"/>
      <c r="NR59" s="28"/>
      <c r="NS59" s="28"/>
      <c r="NT59" s="28"/>
      <c r="NU59" s="28"/>
      <c r="NV59" s="28"/>
      <c r="NW59" s="28"/>
      <c r="NX59" s="28"/>
      <c r="NY59" s="28"/>
      <c r="NZ59" s="28"/>
      <c r="OA59" s="28"/>
      <c r="OB59" s="28"/>
      <c r="OC59" s="28"/>
      <c r="OD59" s="28"/>
      <c r="OE59" s="28"/>
    </row>
    <row r="60" spans="1:395" s="86" customFormat="1" ht="15" customHeight="1" x14ac:dyDescent="0.25">
      <c r="A60" s="135"/>
      <c r="B60" s="62" t="s">
        <v>289</v>
      </c>
      <c r="C60" s="62" t="s">
        <v>295</v>
      </c>
      <c r="D60" s="288" t="s">
        <v>938</v>
      </c>
      <c r="E60" s="196">
        <v>0</v>
      </c>
      <c r="F60" s="167">
        <f>IF($D$8="A VISTA",Planilha2!B45,Planilha2!B45)</f>
        <v>147</v>
      </c>
      <c r="G60" s="168">
        <v>0.13</v>
      </c>
      <c r="H60" s="167">
        <f>IFERROR(F60*(1+G60),#REF!)</f>
        <v>166.10999999999999</v>
      </c>
      <c r="I60" s="167">
        <f t="shared" si="14"/>
        <v>0</v>
      </c>
      <c r="J60" s="169">
        <f t="shared" si="66"/>
        <v>0</v>
      </c>
      <c r="K60" s="176">
        <f>Planilha2!C45</f>
        <v>139.65</v>
      </c>
      <c r="L60" s="171">
        <f t="shared" si="67"/>
        <v>157.80450000000002</v>
      </c>
      <c r="M60" s="176">
        <f t="shared" si="68"/>
        <v>0</v>
      </c>
      <c r="N60" s="176">
        <f t="shared" si="69"/>
        <v>0</v>
      </c>
      <c r="O60" s="140"/>
      <c r="P60" s="180">
        <f t="shared" si="70"/>
        <v>166.10999999999999</v>
      </c>
      <c r="Q60" s="180">
        <f t="shared" si="71"/>
        <v>157.80450000000002</v>
      </c>
      <c r="R60" s="172">
        <f t="shared" si="72"/>
        <v>147</v>
      </c>
      <c r="S60" s="172">
        <f t="shared" si="73"/>
        <v>166.11</v>
      </c>
      <c r="T60" s="172">
        <f t="shared" si="74"/>
        <v>0</v>
      </c>
      <c r="U60" s="172">
        <f t="shared" si="49"/>
        <v>7.3500000000000005</v>
      </c>
      <c r="V60" s="172">
        <f t="shared" si="50"/>
        <v>139.65</v>
      </c>
      <c r="W60" s="172">
        <f t="shared" si="62"/>
        <v>8.3055000000000003</v>
      </c>
      <c r="X60" s="172">
        <f t="shared" ref="X60:X67" si="79">S60-W60</f>
        <v>157.80450000000002</v>
      </c>
      <c r="Y60" s="176">
        <f t="shared" si="75"/>
        <v>0</v>
      </c>
      <c r="Z60" s="182">
        <f t="shared" si="76"/>
        <v>0</v>
      </c>
      <c r="AA60" s="182">
        <f t="shared" si="21"/>
        <v>0</v>
      </c>
      <c r="AB60" s="182">
        <f t="shared" si="77"/>
        <v>0</v>
      </c>
      <c r="AC60" s="182">
        <f t="shared" si="78"/>
        <v>0</v>
      </c>
      <c r="AD60" s="173">
        <f t="shared" si="22"/>
        <v>157.80450000000002</v>
      </c>
      <c r="AE60" s="133"/>
      <c r="AF60" s="133"/>
      <c r="AG60" s="133"/>
      <c r="AH60" s="133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  <c r="FS60" s="28"/>
      <c r="FT60" s="28"/>
      <c r="FU60" s="28"/>
      <c r="FV60" s="28"/>
      <c r="FW60" s="28"/>
      <c r="FX60" s="28"/>
      <c r="FY60" s="28"/>
      <c r="FZ60" s="28"/>
      <c r="GA60" s="28"/>
      <c r="GB60" s="28"/>
      <c r="GC60" s="28"/>
      <c r="GD60" s="28"/>
      <c r="GE60" s="28"/>
      <c r="GF60" s="28"/>
      <c r="GG60" s="28"/>
      <c r="GH60" s="28"/>
      <c r="GI60" s="28"/>
      <c r="GJ60" s="28"/>
      <c r="GK60" s="28"/>
      <c r="GL60" s="28"/>
      <c r="GM60" s="28"/>
      <c r="GN60" s="28"/>
      <c r="GO60" s="28"/>
      <c r="GP60" s="28"/>
      <c r="GQ60" s="28"/>
      <c r="GR60" s="28"/>
      <c r="GS60" s="28"/>
      <c r="GT60" s="28"/>
      <c r="GU60" s="28"/>
      <c r="GV60" s="28"/>
      <c r="GW60" s="28"/>
      <c r="GX60" s="28"/>
      <c r="GY60" s="28"/>
      <c r="GZ60" s="28"/>
      <c r="HA60" s="28"/>
      <c r="HB60" s="28"/>
      <c r="HC60" s="28"/>
      <c r="HD60" s="28"/>
      <c r="HE60" s="28"/>
      <c r="HF60" s="28"/>
      <c r="HG60" s="28"/>
      <c r="HH60" s="28"/>
      <c r="HI60" s="28"/>
      <c r="HJ60" s="28"/>
      <c r="HK60" s="28"/>
      <c r="HL60" s="28"/>
      <c r="HM60" s="28"/>
      <c r="HN60" s="28"/>
      <c r="HO60" s="28"/>
      <c r="HP60" s="28"/>
      <c r="HQ60" s="28"/>
      <c r="HR60" s="28"/>
      <c r="HS60" s="28"/>
      <c r="HT60" s="28"/>
      <c r="HU60" s="28"/>
      <c r="HV60" s="28"/>
      <c r="HW60" s="28"/>
      <c r="HX60" s="28"/>
      <c r="HY60" s="28"/>
      <c r="HZ60" s="28"/>
      <c r="IA60" s="28"/>
      <c r="IB60" s="28"/>
      <c r="IC60" s="28"/>
      <c r="ID60" s="28"/>
      <c r="IE60" s="28"/>
      <c r="IF60" s="28"/>
      <c r="IG60" s="28"/>
      <c r="IH60" s="28"/>
      <c r="II60" s="28"/>
      <c r="IJ60" s="28"/>
      <c r="IK60" s="28"/>
      <c r="IL60" s="28"/>
      <c r="IM60" s="28"/>
      <c r="IN60" s="28"/>
      <c r="IO60" s="28"/>
      <c r="IP60" s="28"/>
      <c r="IQ60" s="28"/>
      <c r="IR60" s="28"/>
      <c r="IS60" s="28"/>
      <c r="IT60" s="28"/>
      <c r="IU60" s="28"/>
      <c r="IV60" s="28"/>
      <c r="IW60" s="28"/>
      <c r="IX60" s="28"/>
      <c r="IY60" s="28"/>
      <c r="IZ60" s="28"/>
      <c r="JA60" s="28"/>
      <c r="JB60" s="28"/>
      <c r="JC60" s="28"/>
      <c r="JD60" s="28"/>
      <c r="JE60" s="28"/>
      <c r="JF60" s="28"/>
      <c r="JG60" s="28"/>
      <c r="JH60" s="28"/>
      <c r="JI60" s="28"/>
      <c r="JJ60" s="28"/>
      <c r="JK60" s="28"/>
      <c r="JL60" s="28"/>
      <c r="JM60" s="28"/>
      <c r="JN60" s="28"/>
      <c r="JO60" s="28"/>
      <c r="JP60" s="28"/>
      <c r="JQ60" s="28"/>
      <c r="JR60" s="28"/>
      <c r="JS60" s="28"/>
      <c r="JT60" s="28"/>
      <c r="JU60" s="28"/>
      <c r="JV60" s="28"/>
      <c r="JW60" s="28"/>
      <c r="JX60" s="28"/>
      <c r="JY60" s="28"/>
      <c r="JZ60" s="28"/>
      <c r="KA60" s="28"/>
      <c r="KB60" s="28"/>
      <c r="KC60" s="28"/>
      <c r="KD60" s="28"/>
      <c r="KE60" s="28"/>
      <c r="KF60" s="28"/>
      <c r="KG60" s="28"/>
      <c r="KH60" s="28"/>
      <c r="KI60" s="28"/>
      <c r="KJ60" s="28"/>
      <c r="KK60" s="28"/>
      <c r="KL60" s="28"/>
      <c r="KM60" s="28"/>
      <c r="KN60" s="28"/>
      <c r="KO60" s="28"/>
      <c r="KP60" s="28"/>
      <c r="KQ60" s="28"/>
      <c r="KR60" s="28"/>
      <c r="KS60" s="28"/>
      <c r="KT60" s="28"/>
      <c r="KU60" s="28"/>
      <c r="KV60" s="28"/>
      <c r="KW60" s="28"/>
      <c r="KX60" s="28"/>
      <c r="KY60" s="28"/>
      <c r="KZ60" s="28"/>
      <c r="LA60" s="28"/>
      <c r="LB60" s="28"/>
      <c r="LC60" s="28"/>
      <c r="LD60" s="28"/>
      <c r="LE60" s="28"/>
      <c r="LF60" s="28"/>
      <c r="LG60" s="28"/>
      <c r="LH60" s="28"/>
      <c r="LI60" s="28"/>
      <c r="LJ60" s="28"/>
      <c r="LK60" s="28"/>
      <c r="LL60" s="28"/>
      <c r="LM60" s="28"/>
      <c r="LN60" s="28"/>
      <c r="LO60" s="28"/>
      <c r="LP60" s="28"/>
      <c r="LQ60" s="28"/>
      <c r="LR60" s="28"/>
      <c r="LS60" s="28"/>
      <c r="LT60" s="28"/>
      <c r="LU60" s="28"/>
      <c r="LV60" s="28"/>
      <c r="LW60" s="28"/>
      <c r="LX60" s="28"/>
      <c r="LY60" s="28"/>
      <c r="LZ60" s="28"/>
      <c r="MA60" s="28"/>
      <c r="MB60" s="28"/>
      <c r="MC60" s="28"/>
      <c r="MD60" s="28"/>
      <c r="ME60" s="28"/>
      <c r="MF60" s="28"/>
      <c r="MG60" s="28"/>
      <c r="MH60" s="28"/>
      <c r="MI60" s="28"/>
      <c r="MJ60" s="28"/>
      <c r="MK60" s="28"/>
      <c r="ML60" s="28"/>
      <c r="MM60" s="28"/>
      <c r="MN60" s="28"/>
      <c r="MO60" s="28"/>
      <c r="MP60" s="28"/>
      <c r="MQ60" s="28"/>
      <c r="MR60" s="28"/>
      <c r="MS60" s="28"/>
      <c r="MT60" s="28"/>
      <c r="MU60" s="28"/>
      <c r="MV60" s="28"/>
      <c r="MW60" s="28"/>
      <c r="MX60" s="28"/>
      <c r="MY60" s="28"/>
      <c r="MZ60" s="28"/>
      <c r="NA60" s="28"/>
      <c r="NB60" s="28"/>
      <c r="NC60" s="28"/>
      <c r="ND60" s="28"/>
      <c r="NE60" s="28"/>
      <c r="NF60" s="28"/>
      <c r="NG60" s="28"/>
      <c r="NH60" s="28"/>
      <c r="NI60" s="28"/>
      <c r="NJ60" s="28"/>
      <c r="NK60" s="28"/>
      <c r="NL60" s="28"/>
      <c r="NM60" s="28"/>
      <c r="NN60" s="28"/>
      <c r="NO60" s="28"/>
      <c r="NP60" s="28"/>
      <c r="NQ60" s="28"/>
      <c r="NR60" s="28"/>
      <c r="NS60" s="28"/>
      <c r="NT60" s="28"/>
      <c r="NU60" s="28"/>
      <c r="NV60" s="28"/>
      <c r="NW60" s="28"/>
      <c r="NX60" s="28"/>
      <c r="NY60" s="28"/>
      <c r="NZ60" s="28"/>
      <c r="OA60" s="28"/>
      <c r="OB60" s="28"/>
      <c r="OC60" s="28"/>
      <c r="OD60" s="28"/>
      <c r="OE60" s="28"/>
    </row>
    <row r="61" spans="1:395" s="86" customFormat="1" ht="15" customHeight="1" x14ac:dyDescent="0.25">
      <c r="A61" s="135"/>
      <c r="B61" s="64" t="s">
        <v>433</v>
      </c>
      <c r="C61" s="64" t="s">
        <v>436</v>
      </c>
      <c r="D61" s="407" t="s">
        <v>526</v>
      </c>
      <c r="E61" s="408">
        <v>0</v>
      </c>
      <c r="F61" s="204">
        <f>IF($D$8="A VISTA",Planilha2!B46,Planilha2!B46)</f>
        <v>164.7</v>
      </c>
      <c r="G61" s="205">
        <v>0.13</v>
      </c>
      <c r="H61" s="204">
        <f>IFERROR(F61*(1+G61),#REF!)</f>
        <v>186.11099999999996</v>
      </c>
      <c r="I61" s="204">
        <f t="shared" si="14"/>
        <v>0</v>
      </c>
      <c r="J61" s="206">
        <f t="shared" si="66"/>
        <v>0</v>
      </c>
      <c r="K61" s="176">
        <f>Planilha2!C46</f>
        <v>156.46499999999997</v>
      </c>
      <c r="L61" s="171">
        <f t="shared" si="67"/>
        <v>176.80544999999998</v>
      </c>
      <c r="M61" s="176">
        <f t="shared" si="68"/>
        <v>0</v>
      </c>
      <c r="N61" s="176">
        <f t="shared" si="69"/>
        <v>0</v>
      </c>
      <c r="O61" s="140"/>
      <c r="P61" s="180">
        <f t="shared" si="70"/>
        <v>186.11099999999996</v>
      </c>
      <c r="Q61" s="180">
        <f t="shared" si="71"/>
        <v>176.80544999999998</v>
      </c>
      <c r="R61" s="172">
        <f t="shared" si="72"/>
        <v>164.7</v>
      </c>
      <c r="S61" s="172">
        <f t="shared" si="73"/>
        <v>186.11099999999999</v>
      </c>
      <c r="T61" s="172">
        <f t="shared" si="74"/>
        <v>0</v>
      </c>
      <c r="U61" s="172">
        <f t="shared" si="49"/>
        <v>8.2349999999999994</v>
      </c>
      <c r="V61" s="172">
        <f t="shared" si="50"/>
        <v>156.46499999999997</v>
      </c>
      <c r="W61" s="172">
        <f t="shared" si="62"/>
        <v>9.3055500000000002</v>
      </c>
      <c r="X61" s="172">
        <f t="shared" si="79"/>
        <v>176.80544999999998</v>
      </c>
      <c r="Y61" s="176">
        <f t="shared" si="75"/>
        <v>0</v>
      </c>
      <c r="Z61" s="182">
        <f t="shared" si="76"/>
        <v>0</v>
      </c>
      <c r="AA61" s="182">
        <f t="shared" si="21"/>
        <v>0</v>
      </c>
      <c r="AB61" s="182">
        <f t="shared" si="77"/>
        <v>0</v>
      </c>
      <c r="AC61" s="182">
        <f t="shared" si="78"/>
        <v>0</v>
      </c>
      <c r="AD61" s="173">
        <f t="shared" si="22"/>
        <v>176.80544999999998</v>
      </c>
      <c r="AE61" s="133"/>
      <c r="AF61" s="133"/>
      <c r="AG61" s="133"/>
      <c r="AH61" s="133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  <c r="FS61" s="28"/>
      <c r="FT61" s="28"/>
      <c r="FU61" s="28"/>
      <c r="FV61" s="28"/>
      <c r="FW61" s="28"/>
      <c r="FX61" s="28"/>
      <c r="FY61" s="28"/>
      <c r="FZ61" s="28"/>
      <c r="GA61" s="28"/>
      <c r="GB61" s="28"/>
      <c r="GC61" s="28"/>
      <c r="GD61" s="28"/>
      <c r="GE61" s="28"/>
      <c r="GF61" s="28"/>
      <c r="GG61" s="28"/>
      <c r="GH61" s="28"/>
      <c r="GI61" s="28"/>
      <c r="GJ61" s="28"/>
      <c r="GK61" s="28"/>
      <c r="GL61" s="28"/>
      <c r="GM61" s="28"/>
      <c r="GN61" s="28"/>
      <c r="GO61" s="28"/>
      <c r="GP61" s="28"/>
      <c r="GQ61" s="28"/>
      <c r="GR61" s="28"/>
      <c r="GS61" s="28"/>
      <c r="GT61" s="28"/>
      <c r="GU61" s="28"/>
      <c r="GV61" s="28"/>
      <c r="GW61" s="28"/>
      <c r="GX61" s="28"/>
      <c r="GY61" s="28"/>
      <c r="GZ61" s="28"/>
      <c r="HA61" s="28"/>
      <c r="HB61" s="28"/>
      <c r="HC61" s="28"/>
      <c r="HD61" s="28"/>
      <c r="HE61" s="28"/>
      <c r="HF61" s="28"/>
      <c r="HG61" s="28"/>
      <c r="HH61" s="28"/>
      <c r="HI61" s="28"/>
      <c r="HJ61" s="28"/>
      <c r="HK61" s="28"/>
      <c r="HL61" s="28"/>
      <c r="HM61" s="28"/>
      <c r="HN61" s="28"/>
      <c r="HO61" s="28"/>
      <c r="HP61" s="28"/>
      <c r="HQ61" s="28"/>
      <c r="HR61" s="28"/>
      <c r="HS61" s="28"/>
      <c r="HT61" s="28"/>
      <c r="HU61" s="28"/>
      <c r="HV61" s="28"/>
      <c r="HW61" s="28"/>
      <c r="HX61" s="28"/>
      <c r="HY61" s="28"/>
      <c r="HZ61" s="28"/>
      <c r="IA61" s="28"/>
      <c r="IB61" s="28"/>
      <c r="IC61" s="28"/>
      <c r="ID61" s="28"/>
      <c r="IE61" s="28"/>
      <c r="IF61" s="28"/>
      <c r="IG61" s="28"/>
      <c r="IH61" s="28"/>
      <c r="II61" s="28"/>
      <c r="IJ61" s="28"/>
      <c r="IK61" s="28"/>
      <c r="IL61" s="28"/>
      <c r="IM61" s="28"/>
      <c r="IN61" s="28"/>
      <c r="IO61" s="28"/>
      <c r="IP61" s="28"/>
      <c r="IQ61" s="28"/>
      <c r="IR61" s="28"/>
      <c r="IS61" s="28"/>
      <c r="IT61" s="28"/>
      <c r="IU61" s="28"/>
      <c r="IV61" s="28"/>
      <c r="IW61" s="28"/>
      <c r="IX61" s="28"/>
      <c r="IY61" s="28"/>
      <c r="IZ61" s="28"/>
      <c r="JA61" s="28"/>
      <c r="JB61" s="28"/>
      <c r="JC61" s="28"/>
      <c r="JD61" s="28"/>
      <c r="JE61" s="28"/>
      <c r="JF61" s="28"/>
      <c r="JG61" s="28"/>
      <c r="JH61" s="28"/>
      <c r="JI61" s="28"/>
      <c r="JJ61" s="28"/>
      <c r="JK61" s="28"/>
      <c r="JL61" s="28"/>
      <c r="JM61" s="28"/>
      <c r="JN61" s="28"/>
      <c r="JO61" s="28"/>
      <c r="JP61" s="28"/>
      <c r="JQ61" s="28"/>
      <c r="JR61" s="28"/>
      <c r="JS61" s="28"/>
      <c r="JT61" s="28"/>
      <c r="JU61" s="28"/>
      <c r="JV61" s="28"/>
      <c r="JW61" s="28"/>
      <c r="JX61" s="28"/>
      <c r="JY61" s="28"/>
      <c r="JZ61" s="28"/>
      <c r="KA61" s="28"/>
      <c r="KB61" s="28"/>
      <c r="KC61" s="28"/>
      <c r="KD61" s="28"/>
      <c r="KE61" s="28"/>
      <c r="KF61" s="28"/>
      <c r="KG61" s="28"/>
      <c r="KH61" s="28"/>
      <c r="KI61" s="28"/>
      <c r="KJ61" s="28"/>
      <c r="KK61" s="28"/>
      <c r="KL61" s="28"/>
      <c r="KM61" s="28"/>
      <c r="KN61" s="28"/>
      <c r="KO61" s="28"/>
      <c r="KP61" s="28"/>
      <c r="KQ61" s="28"/>
      <c r="KR61" s="28"/>
      <c r="KS61" s="28"/>
      <c r="KT61" s="28"/>
      <c r="KU61" s="28"/>
      <c r="KV61" s="28"/>
      <c r="KW61" s="28"/>
      <c r="KX61" s="28"/>
      <c r="KY61" s="28"/>
      <c r="KZ61" s="28"/>
      <c r="LA61" s="28"/>
      <c r="LB61" s="28"/>
      <c r="LC61" s="28"/>
      <c r="LD61" s="28"/>
      <c r="LE61" s="28"/>
      <c r="LF61" s="28"/>
      <c r="LG61" s="28"/>
      <c r="LH61" s="28"/>
      <c r="LI61" s="28"/>
      <c r="LJ61" s="28"/>
      <c r="LK61" s="28"/>
      <c r="LL61" s="28"/>
      <c r="LM61" s="28"/>
      <c r="LN61" s="28"/>
      <c r="LO61" s="28"/>
      <c r="LP61" s="28"/>
      <c r="LQ61" s="28"/>
      <c r="LR61" s="28"/>
      <c r="LS61" s="28"/>
      <c r="LT61" s="28"/>
      <c r="LU61" s="28"/>
      <c r="LV61" s="28"/>
      <c r="LW61" s="28"/>
      <c r="LX61" s="28"/>
      <c r="LY61" s="28"/>
      <c r="LZ61" s="28"/>
      <c r="MA61" s="28"/>
      <c r="MB61" s="28"/>
      <c r="MC61" s="28"/>
      <c r="MD61" s="28"/>
      <c r="ME61" s="28"/>
      <c r="MF61" s="28"/>
      <c r="MG61" s="28"/>
      <c r="MH61" s="28"/>
      <c r="MI61" s="28"/>
      <c r="MJ61" s="28"/>
      <c r="MK61" s="28"/>
      <c r="ML61" s="28"/>
      <c r="MM61" s="28"/>
      <c r="MN61" s="28"/>
      <c r="MO61" s="28"/>
      <c r="MP61" s="28"/>
      <c r="MQ61" s="28"/>
      <c r="MR61" s="28"/>
      <c r="MS61" s="28"/>
      <c r="MT61" s="28"/>
      <c r="MU61" s="28"/>
      <c r="MV61" s="28"/>
      <c r="MW61" s="28"/>
      <c r="MX61" s="28"/>
      <c r="MY61" s="28"/>
      <c r="MZ61" s="28"/>
      <c r="NA61" s="28"/>
      <c r="NB61" s="28"/>
      <c r="NC61" s="28"/>
      <c r="ND61" s="28"/>
      <c r="NE61" s="28"/>
      <c r="NF61" s="28"/>
      <c r="NG61" s="28"/>
      <c r="NH61" s="28"/>
      <c r="NI61" s="28"/>
      <c r="NJ61" s="28"/>
      <c r="NK61" s="28"/>
      <c r="NL61" s="28"/>
      <c r="NM61" s="28"/>
      <c r="NN61" s="28"/>
      <c r="NO61" s="28"/>
      <c r="NP61" s="28"/>
      <c r="NQ61" s="28"/>
      <c r="NR61" s="28"/>
      <c r="NS61" s="28"/>
      <c r="NT61" s="28"/>
      <c r="NU61" s="28"/>
      <c r="NV61" s="28"/>
      <c r="NW61" s="28"/>
      <c r="NX61" s="28"/>
      <c r="NY61" s="28"/>
      <c r="NZ61" s="28"/>
      <c r="OA61" s="28"/>
      <c r="OB61" s="28"/>
      <c r="OC61" s="28"/>
      <c r="OD61" s="28"/>
      <c r="OE61" s="28"/>
    </row>
    <row r="62" spans="1:395" s="86" customFormat="1" ht="15" customHeight="1" x14ac:dyDescent="0.25">
      <c r="A62" s="135"/>
      <c r="B62" s="62" t="s">
        <v>290</v>
      </c>
      <c r="C62" s="62" t="s">
        <v>296</v>
      </c>
      <c r="D62" s="289" t="s">
        <v>939</v>
      </c>
      <c r="E62" s="196">
        <v>0</v>
      </c>
      <c r="F62" s="167">
        <f>IF($D$8="A VISTA",Planilha2!B47,Planilha2!B47)</f>
        <v>147</v>
      </c>
      <c r="G62" s="168">
        <v>0.13</v>
      </c>
      <c r="H62" s="167">
        <f>IFERROR(F62*(1+G62),#REF!)</f>
        <v>166.10999999999999</v>
      </c>
      <c r="I62" s="167">
        <f t="shared" si="14"/>
        <v>0</v>
      </c>
      <c r="J62" s="169">
        <f t="shared" si="66"/>
        <v>0</v>
      </c>
      <c r="K62" s="176">
        <f>Planilha2!C47</f>
        <v>139.65</v>
      </c>
      <c r="L62" s="171">
        <f t="shared" si="67"/>
        <v>157.80450000000002</v>
      </c>
      <c r="M62" s="176">
        <f t="shared" si="68"/>
        <v>0</v>
      </c>
      <c r="N62" s="176">
        <f t="shared" si="69"/>
        <v>0</v>
      </c>
      <c r="O62" s="140"/>
      <c r="P62" s="180">
        <f t="shared" si="70"/>
        <v>166.10999999999999</v>
      </c>
      <c r="Q62" s="180">
        <f t="shared" si="71"/>
        <v>157.80450000000002</v>
      </c>
      <c r="R62" s="172">
        <f t="shared" si="72"/>
        <v>147</v>
      </c>
      <c r="S62" s="172">
        <f t="shared" si="73"/>
        <v>166.11</v>
      </c>
      <c r="T62" s="172">
        <f t="shared" si="74"/>
        <v>0</v>
      </c>
      <c r="U62" s="172">
        <f t="shared" si="49"/>
        <v>7.3500000000000005</v>
      </c>
      <c r="V62" s="172">
        <f t="shared" si="50"/>
        <v>139.65</v>
      </c>
      <c r="W62" s="172">
        <f t="shared" si="62"/>
        <v>8.3055000000000003</v>
      </c>
      <c r="X62" s="172">
        <f t="shared" si="79"/>
        <v>157.80450000000002</v>
      </c>
      <c r="Y62" s="176">
        <f t="shared" si="75"/>
        <v>0</v>
      </c>
      <c r="Z62" s="182">
        <f t="shared" si="76"/>
        <v>0</v>
      </c>
      <c r="AA62" s="182">
        <f t="shared" si="21"/>
        <v>0</v>
      </c>
      <c r="AB62" s="182">
        <f t="shared" si="77"/>
        <v>0</v>
      </c>
      <c r="AC62" s="182">
        <f t="shared" si="78"/>
        <v>0</v>
      </c>
      <c r="AD62" s="173">
        <f t="shared" si="22"/>
        <v>157.80450000000002</v>
      </c>
      <c r="AE62" s="133"/>
      <c r="AF62" s="133"/>
      <c r="AG62" s="133"/>
      <c r="AH62" s="133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28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28"/>
      <c r="IT62" s="28"/>
      <c r="IU62" s="28"/>
      <c r="IV62" s="28"/>
      <c r="IW62" s="28"/>
      <c r="IX62" s="28"/>
      <c r="IY62" s="28"/>
      <c r="IZ62" s="28"/>
      <c r="JA62" s="28"/>
      <c r="JB62" s="28"/>
      <c r="JC62" s="28"/>
      <c r="JD62" s="28"/>
      <c r="JE62" s="28"/>
      <c r="JF62" s="28"/>
      <c r="JG62" s="28"/>
      <c r="JH62" s="28"/>
      <c r="JI62" s="28"/>
      <c r="JJ62" s="28"/>
      <c r="JK62" s="28"/>
      <c r="JL62" s="28"/>
      <c r="JM62" s="28"/>
      <c r="JN62" s="28"/>
      <c r="JO62" s="28"/>
      <c r="JP62" s="28"/>
      <c r="JQ62" s="28"/>
      <c r="JR62" s="28"/>
      <c r="JS62" s="28"/>
      <c r="JT62" s="28"/>
      <c r="JU62" s="28"/>
      <c r="JV62" s="28"/>
      <c r="JW62" s="28"/>
      <c r="JX62" s="28"/>
      <c r="JY62" s="28"/>
      <c r="JZ62" s="28"/>
      <c r="KA62" s="28"/>
      <c r="KB62" s="28"/>
      <c r="KC62" s="28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28"/>
      <c r="LC62" s="28"/>
      <c r="LD62" s="28"/>
      <c r="LE62" s="28"/>
      <c r="LF62" s="28"/>
      <c r="LG62" s="28"/>
      <c r="LH62" s="28"/>
      <c r="LI62" s="28"/>
      <c r="LJ62" s="28"/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28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8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</row>
    <row r="63" spans="1:395" s="86" customFormat="1" ht="15" customHeight="1" x14ac:dyDescent="0.25">
      <c r="A63" s="135"/>
      <c r="B63" s="62" t="s">
        <v>291</v>
      </c>
      <c r="C63" s="62" t="s">
        <v>297</v>
      </c>
      <c r="D63" s="289" t="s">
        <v>940</v>
      </c>
      <c r="E63" s="196">
        <v>0</v>
      </c>
      <c r="F63" s="167">
        <f>IF($D$8="A VISTA",Planilha2!B48,Planilha2!B48)</f>
        <v>159.9</v>
      </c>
      <c r="G63" s="168">
        <v>0.13</v>
      </c>
      <c r="H63" s="167">
        <f>IFERROR(F63*(1+G63),#REF!)</f>
        <v>180.68699999999998</v>
      </c>
      <c r="I63" s="167">
        <f t="shared" si="14"/>
        <v>0</v>
      </c>
      <c r="J63" s="169">
        <f t="shared" si="66"/>
        <v>0</v>
      </c>
      <c r="K63" s="176">
        <f>Planilha2!C48</f>
        <v>151.905</v>
      </c>
      <c r="L63" s="171">
        <f t="shared" si="67"/>
        <v>171.65264999999999</v>
      </c>
      <c r="M63" s="176">
        <f t="shared" si="68"/>
        <v>0</v>
      </c>
      <c r="N63" s="176">
        <f t="shared" si="69"/>
        <v>0</v>
      </c>
      <c r="O63" s="140"/>
      <c r="P63" s="180">
        <f t="shared" si="70"/>
        <v>180.68699999999998</v>
      </c>
      <c r="Q63" s="180">
        <f t="shared" si="71"/>
        <v>171.65264999999999</v>
      </c>
      <c r="R63" s="172">
        <f t="shared" si="72"/>
        <v>159.9</v>
      </c>
      <c r="S63" s="172">
        <f t="shared" si="73"/>
        <v>180.68700000000001</v>
      </c>
      <c r="T63" s="172">
        <f t="shared" si="74"/>
        <v>0</v>
      </c>
      <c r="U63" s="172">
        <f t="shared" si="49"/>
        <v>7.995000000000001</v>
      </c>
      <c r="V63" s="172">
        <f t="shared" si="50"/>
        <v>151.905</v>
      </c>
      <c r="W63" s="172">
        <f t="shared" si="62"/>
        <v>9.0343500000000017</v>
      </c>
      <c r="X63" s="172">
        <f t="shared" si="79"/>
        <v>171.65265000000002</v>
      </c>
      <c r="Y63" s="176">
        <f t="shared" si="75"/>
        <v>0</v>
      </c>
      <c r="Z63" s="182">
        <f t="shared" si="76"/>
        <v>0</v>
      </c>
      <c r="AA63" s="182">
        <f t="shared" si="21"/>
        <v>0</v>
      </c>
      <c r="AB63" s="182">
        <f t="shared" si="77"/>
        <v>0</v>
      </c>
      <c r="AC63" s="182">
        <f t="shared" si="78"/>
        <v>0</v>
      </c>
      <c r="AD63" s="173">
        <f t="shared" si="22"/>
        <v>171.65265000000002</v>
      </c>
      <c r="AE63" s="133"/>
      <c r="AF63" s="133"/>
      <c r="AG63" s="133"/>
      <c r="AH63" s="133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  <c r="FS63" s="28"/>
      <c r="FT63" s="28"/>
      <c r="FU63" s="28"/>
      <c r="FV63" s="28"/>
      <c r="FW63" s="28"/>
      <c r="FX63" s="28"/>
      <c r="FY63" s="28"/>
      <c r="FZ63" s="28"/>
      <c r="GA63" s="28"/>
      <c r="GB63" s="28"/>
      <c r="GC63" s="28"/>
      <c r="GD63" s="28"/>
      <c r="GE63" s="28"/>
      <c r="GF63" s="28"/>
      <c r="GG63" s="28"/>
      <c r="GH63" s="28"/>
      <c r="GI63" s="28"/>
      <c r="GJ63" s="28"/>
      <c r="GK63" s="28"/>
      <c r="GL63" s="28"/>
      <c r="GM63" s="28"/>
      <c r="GN63" s="28"/>
      <c r="GO63" s="28"/>
      <c r="GP63" s="28"/>
      <c r="GQ63" s="28"/>
      <c r="GR63" s="28"/>
      <c r="GS63" s="28"/>
      <c r="GT63" s="28"/>
      <c r="GU63" s="28"/>
      <c r="GV63" s="28"/>
      <c r="GW63" s="28"/>
      <c r="GX63" s="28"/>
      <c r="GY63" s="28"/>
      <c r="GZ63" s="28"/>
      <c r="HA63" s="28"/>
      <c r="HB63" s="28"/>
      <c r="HC63" s="28"/>
      <c r="HD63" s="28"/>
      <c r="HE63" s="28"/>
      <c r="HF63" s="28"/>
      <c r="HG63" s="28"/>
      <c r="HH63" s="28"/>
      <c r="HI63" s="28"/>
      <c r="HJ63" s="28"/>
      <c r="HK63" s="28"/>
      <c r="HL63" s="28"/>
      <c r="HM63" s="28"/>
      <c r="HN63" s="28"/>
      <c r="HO63" s="28"/>
      <c r="HP63" s="28"/>
      <c r="HQ63" s="28"/>
      <c r="HR63" s="28"/>
      <c r="HS63" s="28"/>
      <c r="HT63" s="28"/>
      <c r="HU63" s="28"/>
      <c r="HV63" s="28"/>
      <c r="HW63" s="28"/>
      <c r="HX63" s="28"/>
      <c r="HY63" s="28"/>
      <c r="HZ63" s="28"/>
      <c r="IA63" s="28"/>
      <c r="IB63" s="28"/>
      <c r="IC63" s="28"/>
      <c r="ID63" s="28"/>
      <c r="IE63" s="28"/>
      <c r="IF63" s="28"/>
      <c r="IG63" s="28"/>
      <c r="IH63" s="28"/>
      <c r="II63" s="28"/>
      <c r="IJ63" s="28"/>
      <c r="IK63" s="28"/>
      <c r="IL63" s="28"/>
      <c r="IM63" s="28"/>
      <c r="IN63" s="28"/>
      <c r="IO63" s="28"/>
      <c r="IP63" s="28"/>
      <c r="IQ63" s="28"/>
      <c r="IR63" s="28"/>
      <c r="IS63" s="28"/>
      <c r="IT63" s="28"/>
      <c r="IU63" s="28"/>
      <c r="IV63" s="28"/>
      <c r="IW63" s="28"/>
      <c r="IX63" s="28"/>
      <c r="IY63" s="28"/>
      <c r="IZ63" s="28"/>
      <c r="JA63" s="28"/>
      <c r="JB63" s="28"/>
      <c r="JC63" s="28"/>
      <c r="JD63" s="28"/>
      <c r="JE63" s="28"/>
      <c r="JF63" s="28"/>
      <c r="JG63" s="28"/>
      <c r="JH63" s="28"/>
      <c r="JI63" s="28"/>
      <c r="JJ63" s="28"/>
      <c r="JK63" s="28"/>
      <c r="JL63" s="28"/>
      <c r="JM63" s="28"/>
      <c r="JN63" s="28"/>
      <c r="JO63" s="28"/>
      <c r="JP63" s="28"/>
      <c r="JQ63" s="28"/>
      <c r="JR63" s="28"/>
      <c r="JS63" s="28"/>
      <c r="JT63" s="28"/>
      <c r="JU63" s="28"/>
      <c r="JV63" s="28"/>
      <c r="JW63" s="28"/>
      <c r="JX63" s="28"/>
      <c r="JY63" s="28"/>
      <c r="JZ63" s="28"/>
      <c r="KA63" s="28"/>
      <c r="KB63" s="28"/>
      <c r="KC63" s="28"/>
      <c r="KD63" s="28"/>
      <c r="KE63" s="28"/>
      <c r="KF63" s="28"/>
      <c r="KG63" s="28"/>
      <c r="KH63" s="28"/>
      <c r="KI63" s="28"/>
      <c r="KJ63" s="28"/>
      <c r="KK63" s="28"/>
      <c r="KL63" s="28"/>
      <c r="KM63" s="28"/>
      <c r="KN63" s="28"/>
      <c r="KO63" s="28"/>
      <c r="KP63" s="28"/>
      <c r="KQ63" s="28"/>
      <c r="KR63" s="28"/>
      <c r="KS63" s="28"/>
      <c r="KT63" s="28"/>
      <c r="KU63" s="28"/>
      <c r="KV63" s="28"/>
      <c r="KW63" s="28"/>
      <c r="KX63" s="28"/>
      <c r="KY63" s="28"/>
      <c r="KZ63" s="28"/>
      <c r="LA63" s="28"/>
      <c r="LB63" s="28"/>
      <c r="LC63" s="28"/>
      <c r="LD63" s="28"/>
      <c r="LE63" s="28"/>
      <c r="LF63" s="28"/>
      <c r="LG63" s="28"/>
      <c r="LH63" s="28"/>
      <c r="LI63" s="28"/>
      <c r="LJ63" s="28"/>
      <c r="LK63" s="28"/>
      <c r="LL63" s="28"/>
      <c r="LM63" s="28"/>
      <c r="LN63" s="28"/>
      <c r="LO63" s="28"/>
      <c r="LP63" s="28"/>
      <c r="LQ63" s="28"/>
      <c r="LR63" s="28"/>
      <c r="LS63" s="28"/>
      <c r="LT63" s="28"/>
      <c r="LU63" s="28"/>
      <c r="LV63" s="28"/>
      <c r="LW63" s="28"/>
      <c r="LX63" s="28"/>
      <c r="LY63" s="28"/>
      <c r="LZ63" s="28"/>
      <c r="MA63" s="28"/>
      <c r="MB63" s="28"/>
      <c r="MC63" s="28"/>
      <c r="MD63" s="28"/>
      <c r="ME63" s="28"/>
      <c r="MF63" s="28"/>
      <c r="MG63" s="28"/>
      <c r="MH63" s="28"/>
      <c r="MI63" s="28"/>
      <c r="MJ63" s="28"/>
      <c r="MK63" s="28"/>
      <c r="ML63" s="28"/>
      <c r="MM63" s="28"/>
      <c r="MN63" s="28"/>
      <c r="MO63" s="28"/>
      <c r="MP63" s="28"/>
      <c r="MQ63" s="28"/>
      <c r="MR63" s="28"/>
      <c r="MS63" s="28"/>
      <c r="MT63" s="28"/>
      <c r="MU63" s="28"/>
      <c r="MV63" s="28"/>
      <c r="MW63" s="28"/>
      <c r="MX63" s="28"/>
      <c r="MY63" s="28"/>
      <c r="MZ63" s="28"/>
      <c r="NA63" s="28"/>
      <c r="NB63" s="28"/>
      <c r="NC63" s="28"/>
      <c r="ND63" s="28"/>
      <c r="NE63" s="28"/>
      <c r="NF63" s="28"/>
      <c r="NG63" s="28"/>
      <c r="NH63" s="28"/>
      <c r="NI63" s="28"/>
      <c r="NJ63" s="28"/>
      <c r="NK63" s="28"/>
      <c r="NL63" s="28"/>
      <c r="NM63" s="28"/>
      <c r="NN63" s="28"/>
      <c r="NO63" s="28"/>
      <c r="NP63" s="28"/>
      <c r="NQ63" s="28"/>
      <c r="NR63" s="28"/>
      <c r="NS63" s="28"/>
      <c r="NT63" s="28"/>
      <c r="NU63" s="28"/>
      <c r="NV63" s="28"/>
      <c r="NW63" s="28"/>
      <c r="NX63" s="28"/>
      <c r="NY63" s="28"/>
      <c r="NZ63" s="28"/>
      <c r="OA63" s="28"/>
      <c r="OB63" s="28"/>
      <c r="OC63" s="28"/>
      <c r="OD63" s="28"/>
      <c r="OE63" s="28"/>
    </row>
    <row r="64" spans="1:395" s="86" customFormat="1" ht="15" customHeight="1" x14ac:dyDescent="0.25">
      <c r="A64" s="135"/>
      <c r="B64" s="62" t="s">
        <v>434</v>
      </c>
      <c r="C64" s="62" t="s">
        <v>437</v>
      </c>
      <c r="D64" s="40" t="s">
        <v>504</v>
      </c>
      <c r="E64" s="196">
        <v>0</v>
      </c>
      <c r="F64" s="167">
        <f>IF($D$8="A VISTA",Planilha2!B49,Planilha2!B49)</f>
        <v>166.24</v>
      </c>
      <c r="G64" s="168">
        <v>0.13</v>
      </c>
      <c r="H64" s="167">
        <f>IFERROR(F64*(1+G64),#REF!)</f>
        <v>187.85120000000001</v>
      </c>
      <c r="I64" s="167">
        <f t="shared" si="14"/>
        <v>0</v>
      </c>
      <c r="J64" s="169">
        <f t="shared" si="66"/>
        <v>0</v>
      </c>
      <c r="K64" s="176">
        <f>Planilha2!C49</f>
        <v>157.928</v>
      </c>
      <c r="L64" s="171">
        <f t="shared" si="67"/>
        <v>178.45864</v>
      </c>
      <c r="M64" s="176">
        <f t="shared" si="68"/>
        <v>0</v>
      </c>
      <c r="N64" s="176">
        <f t="shared" si="69"/>
        <v>0</v>
      </c>
      <c r="O64" s="140"/>
      <c r="P64" s="180">
        <f t="shared" si="70"/>
        <v>187.85120000000001</v>
      </c>
      <c r="Q64" s="180">
        <f t="shared" si="71"/>
        <v>178.45864</v>
      </c>
      <c r="R64" s="172">
        <f t="shared" si="72"/>
        <v>166.24</v>
      </c>
      <c r="S64" s="172">
        <f t="shared" si="73"/>
        <v>187.85120000000001</v>
      </c>
      <c r="T64" s="172">
        <f t="shared" si="74"/>
        <v>0</v>
      </c>
      <c r="U64" s="172">
        <f t="shared" si="49"/>
        <v>8.3120000000000012</v>
      </c>
      <c r="V64" s="172">
        <f t="shared" si="50"/>
        <v>157.928</v>
      </c>
      <c r="W64" s="172">
        <f t="shared" si="62"/>
        <v>9.3925600000000014</v>
      </c>
      <c r="X64" s="172">
        <f t="shared" si="79"/>
        <v>178.45864</v>
      </c>
      <c r="Y64" s="176">
        <f t="shared" si="75"/>
        <v>0</v>
      </c>
      <c r="Z64" s="182">
        <f t="shared" si="76"/>
        <v>0</v>
      </c>
      <c r="AA64" s="182">
        <f>Z64*5%</f>
        <v>0</v>
      </c>
      <c r="AB64" s="182">
        <f t="shared" si="77"/>
        <v>0</v>
      </c>
      <c r="AC64" s="182">
        <f t="shared" si="78"/>
        <v>0</v>
      </c>
      <c r="AD64" s="173">
        <f t="shared" si="22"/>
        <v>178.45864</v>
      </c>
      <c r="AE64" s="133"/>
      <c r="AF64" s="133"/>
      <c r="AG64" s="133"/>
      <c r="AH64" s="133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8"/>
      <c r="FW64" s="28"/>
      <c r="FX64" s="28"/>
      <c r="FY64" s="28"/>
      <c r="FZ64" s="28"/>
      <c r="GA64" s="28"/>
      <c r="GB64" s="28"/>
      <c r="GC64" s="28"/>
      <c r="GD64" s="28"/>
      <c r="GE64" s="28"/>
      <c r="GF64" s="28"/>
      <c r="GG64" s="28"/>
      <c r="GH64" s="28"/>
      <c r="GI64" s="28"/>
      <c r="GJ64" s="28"/>
      <c r="GK64" s="28"/>
      <c r="GL64" s="28"/>
      <c r="GM64" s="28"/>
      <c r="GN64" s="28"/>
      <c r="GO64" s="28"/>
      <c r="GP64" s="28"/>
      <c r="GQ64" s="28"/>
      <c r="GR64" s="28"/>
      <c r="GS64" s="28"/>
      <c r="GT64" s="28"/>
      <c r="GU64" s="28"/>
      <c r="GV64" s="28"/>
      <c r="GW64" s="28"/>
      <c r="GX64" s="28"/>
      <c r="GY64" s="28"/>
      <c r="GZ64" s="28"/>
      <c r="HA64" s="28"/>
      <c r="HB64" s="28"/>
      <c r="HC64" s="28"/>
      <c r="HD64" s="28"/>
      <c r="HE64" s="28"/>
      <c r="HF64" s="28"/>
      <c r="HG64" s="28"/>
      <c r="HH64" s="28"/>
      <c r="HI64" s="28"/>
      <c r="HJ64" s="28"/>
      <c r="HK64" s="28"/>
      <c r="HL64" s="28"/>
      <c r="HM64" s="28"/>
      <c r="HN64" s="28"/>
      <c r="HO64" s="28"/>
      <c r="HP64" s="28"/>
      <c r="HQ64" s="28"/>
      <c r="HR64" s="28"/>
      <c r="HS64" s="28"/>
      <c r="HT64" s="28"/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  <c r="IJ64" s="28"/>
      <c r="IK64" s="28"/>
      <c r="IL64" s="28"/>
      <c r="IM64" s="28"/>
      <c r="IN64" s="28"/>
      <c r="IO64" s="28"/>
      <c r="IP64" s="28"/>
      <c r="IQ64" s="28"/>
      <c r="IR64" s="28"/>
      <c r="IS64" s="28"/>
      <c r="IT64" s="28"/>
      <c r="IU64" s="28"/>
      <c r="IV64" s="28"/>
      <c r="IW64" s="28"/>
      <c r="IX64" s="28"/>
      <c r="IY64" s="28"/>
      <c r="IZ64" s="28"/>
      <c r="JA64" s="28"/>
      <c r="JB64" s="28"/>
      <c r="JC64" s="28"/>
      <c r="JD64" s="28"/>
      <c r="JE64" s="28"/>
      <c r="JF64" s="28"/>
      <c r="JG64" s="28"/>
      <c r="JH64" s="28"/>
      <c r="JI64" s="28"/>
      <c r="JJ64" s="28"/>
      <c r="JK64" s="28"/>
      <c r="JL64" s="28"/>
      <c r="JM64" s="28"/>
      <c r="JN64" s="28"/>
      <c r="JO64" s="28"/>
      <c r="JP64" s="28"/>
      <c r="JQ64" s="28"/>
      <c r="JR64" s="28"/>
      <c r="JS64" s="28"/>
      <c r="JT64" s="28"/>
      <c r="JU64" s="28"/>
      <c r="JV64" s="28"/>
      <c r="JW64" s="28"/>
      <c r="JX64" s="28"/>
      <c r="JY64" s="28"/>
      <c r="JZ64" s="28"/>
      <c r="KA64" s="28"/>
      <c r="KB64" s="28"/>
      <c r="KC64" s="28"/>
      <c r="KD64" s="28"/>
      <c r="KE64" s="28"/>
      <c r="KF64" s="28"/>
      <c r="KG64" s="28"/>
      <c r="KH64" s="28"/>
      <c r="KI64" s="28"/>
      <c r="KJ64" s="28"/>
      <c r="KK64" s="28"/>
      <c r="KL64" s="28"/>
      <c r="KM64" s="28"/>
      <c r="KN64" s="28"/>
      <c r="KO64" s="28"/>
      <c r="KP64" s="28"/>
      <c r="KQ64" s="28"/>
      <c r="KR64" s="28"/>
      <c r="KS64" s="28"/>
      <c r="KT64" s="28"/>
      <c r="KU64" s="28"/>
      <c r="KV64" s="28"/>
      <c r="KW64" s="28"/>
      <c r="KX64" s="28"/>
      <c r="KY64" s="28"/>
      <c r="KZ64" s="28"/>
      <c r="LA64" s="28"/>
      <c r="LB64" s="28"/>
      <c r="LC64" s="28"/>
      <c r="LD64" s="28"/>
      <c r="LE64" s="28"/>
      <c r="LF64" s="28"/>
      <c r="LG64" s="28"/>
      <c r="LH64" s="28"/>
      <c r="LI64" s="28"/>
      <c r="LJ64" s="28"/>
      <c r="LK64" s="28"/>
      <c r="LL64" s="28"/>
      <c r="LM64" s="28"/>
      <c r="LN64" s="28"/>
      <c r="LO64" s="28"/>
      <c r="LP64" s="28"/>
      <c r="LQ64" s="28"/>
      <c r="LR64" s="28"/>
      <c r="LS64" s="28"/>
      <c r="LT64" s="28"/>
      <c r="LU64" s="28"/>
      <c r="LV64" s="28"/>
      <c r="LW64" s="28"/>
      <c r="LX64" s="28"/>
      <c r="LY64" s="28"/>
      <c r="LZ64" s="28"/>
      <c r="MA64" s="28"/>
      <c r="MB64" s="28"/>
      <c r="MC64" s="28"/>
      <c r="MD64" s="28"/>
      <c r="ME64" s="28"/>
      <c r="MF64" s="28"/>
      <c r="MG64" s="28"/>
      <c r="MH64" s="28"/>
      <c r="MI64" s="28"/>
      <c r="MJ64" s="28"/>
      <c r="MK64" s="28"/>
      <c r="ML64" s="28"/>
      <c r="MM64" s="28"/>
      <c r="MN64" s="28"/>
      <c r="MO64" s="28"/>
      <c r="MP64" s="28"/>
      <c r="MQ64" s="28"/>
      <c r="MR64" s="28"/>
      <c r="MS64" s="28"/>
      <c r="MT64" s="28"/>
      <c r="MU64" s="28"/>
      <c r="MV64" s="28"/>
      <c r="MW64" s="28"/>
      <c r="MX64" s="28"/>
      <c r="MY64" s="28"/>
      <c r="MZ64" s="28"/>
      <c r="NA64" s="28"/>
      <c r="NB64" s="28"/>
      <c r="NC64" s="28"/>
      <c r="ND64" s="28"/>
      <c r="NE64" s="28"/>
      <c r="NF64" s="28"/>
      <c r="NG64" s="28"/>
      <c r="NH64" s="28"/>
      <c r="NI64" s="28"/>
      <c r="NJ64" s="28"/>
      <c r="NK64" s="28"/>
      <c r="NL64" s="28"/>
      <c r="NM64" s="28"/>
      <c r="NN64" s="28"/>
      <c r="NO64" s="28"/>
      <c r="NP64" s="28"/>
      <c r="NQ64" s="28"/>
      <c r="NR64" s="28"/>
      <c r="NS64" s="28"/>
      <c r="NT64" s="28"/>
      <c r="NU64" s="28"/>
      <c r="NV64" s="28"/>
      <c r="NW64" s="28"/>
      <c r="NX64" s="28"/>
      <c r="NY64" s="28"/>
      <c r="NZ64" s="28"/>
      <c r="OA64" s="28"/>
      <c r="OB64" s="28"/>
      <c r="OC64" s="28"/>
      <c r="OD64" s="28"/>
      <c r="OE64" s="28"/>
    </row>
    <row r="65" spans="1:395" s="86" customFormat="1" ht="15" customHeight="1" x14ac:dyDescent="0.25">
      <c r="A65" s="135"/>
      <c r="B65" s="62" t="s">
        <v>293</v>
      </c>
      <c r="C65" s="62" t="s">
        <v>298</v>
      </c>
      <c r="D65" s="290" t="s">
        <v>941</v>
      </c>
      <c r="E65" s="196">
        <v>0</v>
      </c>
      <c r="F65" s="167">
        <f>IF($D$8="A VISTA",Planilha2!B50,Planilha2!B50)</f>
        <v>232</v>
      </c>
      <c r="G65" s="168">
        <v>0.13</v>
      </c>
      <c r="H65" s="167">
        <f>IFERROR(F65*(1+G65),#REF!)</f>
        <v>262.15999999999997</v>
      </c>
      <c r="I65" s="167">
        <f t="shared" si="14"/>
        <v>0</v>
      </c>
      <c r="J65" s="169">
        <f t="shared" si="66"/>
        <v>0</v>
      </c>
      <c r="K65" s="176">
        <f>Planilha2!C50</f>
        <v>220.4</v>
      </c>
      <c r="L65" s="171">
        <f t="shared" si="67"/>
        <v>249.05200000000002</v>
      </c>
      <c r="M65" s="176">
        <f t="shared" si="68"/>
        <v>0</v>
      </c>
      <c r="N65" s="176">
        <f t="shared" si="69"/>
        <v>0</v>
      </c>
      <c r="O65" s="140"/>
      <c r="P65" s="180">
        <f t="shared" si="70"/>
        <v>262.15999999999997</v>
      </c>
      <c r="Q65" s="180">
        <f t="shared" si="71"/>
        <v>249.05200000000002</v>
      </c>
      <c r="R65" s="172">
        <f t="shared" si="72"/>
        <v>232</v>
      </c>
      <c r="S65" s="172">
        <f t="shared" si="73"/>
        <v>262.16000000000003</v>
      </c>
      <c r="T65" s="172">
        <f t="shared" si="74"/>
        <v>0</v>
      </c>
      <c r="U65" s="172">
        <f t="shared" si="49"/>
        <v>11.600000000000001</v>
      </c>
      <c r="V65" s="172">
        <f t="shared" si="50"/>
        <v>220.4</v>
      </c>
      <c r="W65" s="172">
        <f t="shared" si="62"/>
        <v>13.108000000000002</v>
      </c>
      <c r="X65" s="172">
        <f t="shared" si="79"/>
        <v>249.05200000000002</v>
      </c>
      <c r="Y65" s="176">
        <f t="shared" si="75"/>
        <v>0</v>
      </c>
      <c r="Z65" s="182">
        <f t="shared" si="76"/>
        <v>0</v>
      </c>
      <c r="AA65" s="182">
        <f>Z65*5%</f>
        <v>0</v>
      </c>
      <c r="AB65" s="182">
        <f t="shared" si="77"/>
        <v>0</v>
      </c>
      <c r="AC65" s="182">
        <f t="shared" si="78"/>
        <v>0</v>
      </c>
      <c r="AD65" s="173">
        <f t="shared" si="22"/>
        <v>249.05200000000002</v>
      </c>
      <c r="AE65" s="133"/>
      <c r="AF65" s="133"/>
      <c r="AG65" s="133"/>
      <c r="AH65" s="133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</row>
    <row r="66" spans="1:395" s="86" customFormat="1" ht="15" customHeight="1" x14ac:dyDescent="0.25">
      <c r="A66" s="135"/>
      <c r="B66" s="291" t="s">
        <v>435</v>
      </c>
      <c r="C66" s="291" t="s">
        <v>438</v>
      </c>
      <c r="D66" s="123" t="s">
        <v>1260</v>
      </c>
      <c r="E66" s="409">
        <v>0</v>
      </c>
      <c r="F66" s="403">
        <f>IF($D$8="A VISTA",Planilha2!B51,Planilha2!B51)</f>
        <v>211.88</v>
      </c>
      <c r="G66" s="404">
        <v>0.13</v>
      </c>
      <c r="H66" s="403">
        <f>IFERROR(F66*(1+G66),#REF!)</f>
        <v>239.42439999999996</v>
      </c>
      <c r="I66" s="403">
        <f t="shared" si="14"/>
        <v>0</v>
      </c>
      <c r="J66" s="405">
        <f t="shared" si="66"/>
        <v>0</v>
      </c>
      <c r="K66" s="176">
        <f>Planilha2!C51</f>
        <v>201.286</v>
      </c>
      <c r="L66" s="171">
        <f t="shared" si="67"/>
        <v>227.45318</v>
      </c>
      <c r="M66" s="176">
        <f t="shared" si="68"/>
        <v>0</v>
      </c>
      <c r="N66" s="176">
        <f t="shared" si="69"/>
        <v>0</v>
      </c>
      <c r="O66" s="140"/>
      <c r="P66" s="180">
        <f t="shared" si="70"/>
        <v>239.42439999999996</v>
      </c>
      <c r="Q66" s="180">
        <f t="shared" si="71"/>
        <v>227.45318</v>
      </c>
      <c r="R66" s="172">
        <f t="shared" si="72"/>
        <v>211.88</v>
      </c>
      <c r="S66" s="172">
        <f t="shared" si="73"/>
        <v>239.42439999999999</v>
      </c>
      <c r="T66" s="172">
        <f t="shared" si="74"/>
        <v>0</v>
      </c>
      <c r="U66" s="172">
        <f t="shared" si="49"/>
        <v>10.594000000000001</v>
      </c>
      <c r="V66" s="172">
        <f t="shared" si="50"/>
        <v>201.286</v>
      </c>
      <c r="W66" s="172">
        <f t="shared" si="62"/>
        <v>11.971220000000001</v>
      </c>
      <c r="X66" s="172">
        <f t="shared" si="79"/>
        <v>227.45318</v>
      </c>
      <c r="Y66" s="176">
        <f t="shared" si="75"/>
        <v>0</v>
      </c>
      <c r="Z66" s="182">
        <f t="shared" si="76"/>
        <v>0</v>
      </c>
      <c r="AA66" s="182">
        <f>Z66*5%</f>
        <v>0</v>
      </c>
      <c r="AB66" s="182">
        <f t="shared" si="77"/>
        <v>0</v>
      </c>
      <c r="AC66" s="182">
        <f t="shared" si="78"/>
        <v>0</v>
      </c>
      <c r="AD66" s="173">
        <f t="shared" si="22"/>
        <v>227.45318</v>
      </c>
      <c r="AE66" s="133"/>
      <c r="AF66" s="133"/>
      <c r="AG66" s="133"/>
      <c r="AH66" s="133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  <c r="FW66" s="28"/>
      <c r="FX66" s="28"/>
      <c r="FY66" s="28"/>
      <c r="FZ66" s="28"/>
      <c r="GA66" s="28"/>
      <c r="GB66" s="28"/>
      <c r="GC66" s="28"/>
      <c r="GD66" s="28"/>
      <c r="GE66" s="28"/>
      <c r="GF66" s="28"/>
      <c r="GG66" s="28"/>
      <c r="GH66" s="28"/>
      <c r="GI66" s="28"/>
      <c r="GJ66" s="28"/>
      <c r="GK66" s="28"/>
      <c r="GL66" s="28"/>
      <c r="GM66" s="28"/>
      <c r="GN66" s="28"/>
      <c r="GO66" s="28"/>
      <c r="GP66" s="28"/>
      <c r="GQ66" s="28"/>
      <c r="GR66" s="28"/>
      <c r="GS66" s="28"/>
      <c r="GT66" s="28"/>
      <c r="GU66" s="28"/>
      <c r="GV66" s="28"/>
      <c r="GW66" s="28"/>
      <c r="GX66" s="28"/>
      <c r="GY66" s="28"/>
      <c r="GZ66" s="28"/>
      <c r="HA66" s="28"/>
      <c r="HB66" s="28"/>
      <c r="HC66" s="28"/>
      <c r="HD66" s="28"/>
      <c r="HE66" s="28"/>
      <c r="HF66" s="28"/>
      <c r="HG66" s="28"/>
      <c r="HH66" s="28"/>
      <c r="HI66" s="28"/>
      <c r="HJ66" s="28"/>
      <c r="HK66" s="28"/>
      <c r="HL66" s="28"/>
      <c r="HM66" s="28"/>
      <c r="HN66" s="28"/>
      <c r="HO66" s="28"/>
      <c r="HP66" s="28"/>
      <c r="HQ66" s="28"/>
      <c r="HR66" s="28"/>
      <c r="HS66" s="28"/>
      <c r="HT66" s="28"/>
      <c r="HU66" s="28"/>
      <c r="HV66" s="28"/>
      <c r="HW66" s="28"/>
      <c r="HX66" s="28"/>
      <c r="HY66" s="28"/>
      <c r="HZ66" s="28"/>
      <c r="IA66" s="28"/>
      <c r="IB66" s="28"/>
      <c r="IC66" s="28"/>
      <c r="ID66" s="28"/>
      <c r="IE66" s="28"/>
      <c r="IF66" s="28"/>
      <c r="IG66" s="28"/>
      <c r="IH66" s="28"/>
      <c r="II66" s="28"/>
      <c r="IJ66" s="28"/>
      <c r="IK66" s="28"/>
      <c r="IL66" s="28"/>
      <c r="IM66" s="28"/>
      <c r="IN66" s="28"/>
      <c r="IO66" s="28"/>
      <c r="IP66" s="28"/>
      <c r="IQ66" s="28"/>
      <c r="IR66" s="28"/>
      <c r="IS66" s="28"/>
      <c r="IT66" s="28"/>
      <c r="IU66" s="28"/>
      <c r="IV66" s="28"/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/>
      <c r="JS66" s="28"/>
      <c r="JT66" s="28"/>
      <c r="JU66" s="28"/>
      <c r="JV66" s="28"/>
      <c r="JW66" s="28"/>
      <c r="JX66" s="28"/>
      <c r="JY66" s="28"/>
      <c r="JZ66" s="28"/>
      <c r="KA66" s="28"/>
      <c r="KB66" s="28"/>
      <c r="KC66" s="28"/>
      <c r="KD66" s="28"/>
      <c r="KE66" s="28"/>
      <c r="KF66" s="28"/>
      <c r="KG66" s="28"/>
      <c r="KH66" s="28"/>
      <c r="KI66" s="28"/>
      <c r="KJ66" s="28"/>
      <c r="KK66" s="28"/>
      <c r="KL66" s="28"/>
      <c r="KM66" s="28"/>
      <c r="KN66" s="28"/>
      <c r="KO66" s="28"/>
      <c r="KP66" s="28"/>
      <c r="KQ66" s="28"/>
      <c r="KR66" s="28"/>
      <c r="KS66" s="28"/>
      <c r="KT66" s="28"/>
      <c r="KU66" s="28"/>
      <c r="KV66" s="28"/>
      <c r="KW66" s="28"/>
      <c r="KX66" s="28"/>
      <c r="KY66" s="28"/>
      <c r="KZ66" s="28"/>
      <c r="LA66" s="28"/>
      <c r="LB66" s="28"/>
      <c r="LC66" s="28"/>
      <c r="LD66" s="28"/>
      <c r="LE66" s="28"/>
      <c r="LF66" s="28"/>
      <c r="LG66" s="28"/>
      <c r="LH66" s="28"/>
      <c r="LI66" s="28"/>
      <c r="LJ66" s="28"/>
      <c r="LK66" s="28"/>
      <c r="LL66" s="28"/>
      <c r="LM66" s="28"/>
      <c r="LN66" s="28"/>
      <c r="LO66" s="28"/>
      <c r="LP66" s="28"/>
      <c r="LQ66" s="28"/>
      <c r="LR66" s="28"/>
      <c r="LS66" s="28"/>
      <c r="LT66" s="28"/>
      <c r="LU66" s="28"/>
      <c r="LV66" s="28"/>
      <c r="LW66" s="28"/>
      <c r="LX66" s="28"/>
      <c r="LY66" s="28"/>
      <c r="LZ66" s="28"/>
      <c r="MA66" s="28"/>
      <c r="MB66" s="28"/>
      <c r="MC66" s="28"/>
      <c r="MD66" s="28"/>
      <c r="ME66" s="28"/>
      <c r="MF66" s="28"/>
      <c r="MG66" s="28"/>
      <c r="MH66" s="28"/>
      <c r="MI66" s="28"/>
      <c r="MJ66" s="28"/>
      <c r="MK66" s="28"/>
      <c r="ML66" s="28"/>
      <c r="MM66" s="28"/>
      <c r="MN66" s="28"/>
      <c r="MO66" s="28"/>
      <c r="MP66" s="28"/>
      <c r="MQ66" s="28"/>
      <c r="MR66" s="28"/>
      <c r="MS66" s="28"/>
      <c r="MT66" s="28"/>
      <c r="MU66" s="28"/>
      <c r="MV66" s="28"/>
      <c r="MW66" s="28"/>
      <c r="MX66" s="28"/>
      <c r="MY66" s="28"/>
      <c r="MZ66" s="28"/>
      <c r="NA66" s="28"/>
      <c r="NB66" s="28"/>
      <c r="NC66" s="28"/>
      <c r="ND66" s="28"/>
      <c r="NE66" s="28"/>
      <c r="NF66" s="28"/>
      <c r="NG66" s="28"/>
      <c r="NH66" s="28"/>
      <c r="NI66" s="28"/>
      <c r="NJ66" s="28"/>
      <c r="NK66" s="28"/>
      <c r="NL66" s="28"/>
      <c r="NM66" s="28"/>
      <c r="NN66" s="28"/>
      <c r="NO66" s="28"/>
      <c r="NP66" s="28"/>
      <c r="NQ66" s="28"/>
      <c r="NR66" s="28"/>
      <c r="NS66" s="28"/>
      <c r="NT66" s="28"/>
      <c r="NU66" s="28"/>
      <c r="NV66" s="28"/>
      <c r="NW66" s="28"/>
      <c r="NX66" s="28"/>
      <c r="NY66" s="28"/>
      <c r="NZ66" s="28"/>
      <c r="OA66" s="28"/>
      <c r="OB66" s="28"/>
      <c r="OC66" s="28"/>
      <c r="OD66" s="28"/>
      <c r="OE66" s="28"/>
    </row>
    <row r="67" spans="1:395" s="86" customFormat="1" ht="15" customHeight="1" x14ac:dyDescent="0.25">
      <c r="A67" s="135"/>
      <c r="B67" s="62" t="s">
        <v>294</v>
      </c>
      <c r="C67" s="62" t="s">
        <v>299</v>
      </c>
      <c r="D67" s="290" t="s">
        <v>1254</v>
      </c>
      <c r="E67" s="196">
        <v>0</v>
      </c>
      <c r="F67" s="167">
        <f>IF($D$8="A VISTA",Planilha2!B52,Planilha2!B52)</f>
        <v>179</v>
      </c>
      <c r="G67" s="168">
        <v>0.13</v>
      </c>
      <c r="H67" s="167">
        <f>IFERROR(F67*(1+G67),#REF!)</f>
        <v>202.26999999999998</v>
      </c>
      <c r="I67" s="167">
        <f t="shared" si="14"/>
        <v>0</v>
      </c>
      <c r="J67" s="169">
        <f t="shared" si="66"/>
        <v>0</v>
      </c>
      <c r="K67" s="176">
        <f>Planilha2!C52</f>
        <v>170.05</v>
      </c>
      <c r="L67" s="171">
        <f t="shared" si="67"/>
        <v>192.15650000000002</v>
      </c>
      <c r="M67" s="176">
        <f t="shared" si="68"/>
        <v>0</v>
      </c>
      <c r="N67" s="176">
        <f t="shared" si="69"/>
        <v>0</v>
      </c>
      <c r="O67" s="140"/>
      <c r="P67" s="180">
        <f t="shared" si="70"/>
        <v>202.26999999999998</v>
      </c>
      <c r="Q67" s="180">
        <f t="shared" si="71"/>
        <v>192.15650000000002</v>
      </c>
      <c r="R67" s="172">
        <f t="shared" si="72"/>
        <v>179</v>
      </c>
      <c r="S67" s="172">
        <f t="shared" si="73"/>
        <v>202.27</v>
      </c>
      <c r="T67" s="172">
        <f t="shared" si="74"/>
        <v>0</v>
      </c>
      <c r="U67" s="172">
        <f t="shared" si="49"/>
        <v>8.9500000000000011</v>
      </c>
      <c r="V67" s="172">
        <f t="shared" si="50"/>
        <v>170.05</v>
      </c>
      <c r="W67" s="172">
        <f t="shared" si="62"/>
        <v>10.113500000000002</v>
      </c>
      <c r="X67" s="172">
        <f t="shared" si="79"/>
        <v>192.15649999999999</v>
      </c>
      <c r="Y67" s="176">
        <f t="shared" si="75"/>
        <v>0</v>
      </c>
      <c r="Z67" s="182">
        <f t="shared" si="76"/>
        <v>0</v>
      </c>
      <c r="AA67" s="182">
        <f>Z67*5%</f>
        <v>0</v>
      </c>
      <c r="AB67" s="182">
        <f t="shared" si="77"/>
        <v>0</v>
      </c>
      <c r="AC67" s="182">
        <f t="shared" si="78"/>
        <v>0</v>
      </c>
      <c r="AD67" s="173">
        <f t="shared" si="22"/>
        <v>192.15649999999999</v>
      </c>
      <c r="AE67" s="133"/>
      <c r="AF67" s="133"/>
      <c r="AG67" s="133"/>
      <c r="AH67" s="133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  <c r="FS67" s="28"/>
      <c r="FT67" s="28"/>
      <c r="FU67" s="28"/>
      <c r="FV67" s="28"/>
      <c r="FW67" s="28"/>
      <c r="FX67" s="28"/>
      <c r="FY67" s="28"/>
      <c r="FZ67" s="28"/>
      <c r="GA67" s="28"/>
      <c r="GB67" s="28"/>
      <c r="GC67" s="28"/>
      <c r="GD67" s="28"/>
      <c r="GE67" s="28"/>
      <c r="GF67" s="28"/>
      <c r="GG67" s="28"/>
      <c r="GH67" s="28"/>
      <c r="GI67" s="28"/>
      <c r="GJ67" s="28"/>
      <c r="GK67" s="28"/>
      <c r="GL67" s="28"/>
      <c r="GM67" s="28"/>
      <c r="GN67" s="28"/>
      <c r="GO67" s="28"/>
      <c r="GP67" s="28"/>
      <c r="GQ67" s="28"/>
      <c r="GR67" s="28"/>
      <c r="GS67" s="28"/>
      <c r="GT67" s="28"/>
      <c r="GU67" s="28"/>
      <c r="GV67" s="28"/>
      <c r="GW67" s="28"/>
      <c r="GX67" s="28"/>
      <c r="GY67" s="28"/>
      <c r="GZ67" s="28"/>
      <c r="HA67" s="28"/>
      <c r="HB67" s="28"/>
      <c r="HC67" s="28"/>
      <c r="HD67" s="28"/>
      <c r="HE67" s="28"/>
      <c r="HF67" s="28"/>
      <c r="HG67" s="28"/>
      <c r="HH67" s="28"/>
      <c r="HI67" s="28"/>
      <c r="HJ67" s="28"/>
      <c r="HK67" s="28"/>
      <c r="HL67" s="28"/>
      <c r="HM67" s="28"/>
      <c r="HN67" s="28"/>
      <c r="HO67" s="28"/>
      <c r="HP67" s="28"/>
      <c r="HQ67" s="28"/>
      <c r="HR67" s="28"/>
      <c r="HS67" s="28"/>
      <c r="HT67" s="28"/>
      <c r="HU67" s="28"/>
      <c r="HV67" s="28"/>
      <c r="HW67" s="28"/>
      <c r="HX67" s="28"/>
      <c r="HY67" s="28"/>
      <c r="HZ67" s="28"/>
      <c r="IA67" s="28"/>
      <c r="IB67" s="28"/>
      <c r="IC67" s="28"/>
      <c r="ID67" s="28"/>
      <c r="IE67" s="28"/>
      <c r="IF67" s="28"/>
      <c r="IG67" s="28"/>
      <c r="IH67" s="28"/>
      <c r="II67" s="28"/>
      <c r="IJ67" s="28"/>
      <c r="IK67" s="28"/>
      <c r="IL67" s="28"/>
      <c r="IM67" s="28"/>
      <c r="IN67" s="28"/>
      <c r="IO67" s="28"/>
      <c r="IP67" s="28"/>
      <c r="IQ67" s="28"/>
      <c r="IR67" s="28"/>
      <c r="IS67" s="28"/>
      <c r="IT67" s="28"/>
      <c r="IU67" s="28"/>
      <c r="IV67" s="28"/>
      <c r="IW67" s="28"/>
      <c r="IX67" s="28"/>
      <c r="IY67" s="28"/>
      <c r="IZ67" s="28"/>
      <c r="JA67" s="28"/>
      <c r="JB67" s="28"/>
      <c r="JC67" s="28"/>
      <c r="JD67" s="28"/>
      <c r="JE67" s="28"/>
      <c r="JF67" s="28"/>
      <c r="JG67" s="28"/>
      <c r="JH67" s="28"/>
      <c r="JI67" s="28"/>
      <c r="JJ67" s="28"/>
      <c r="JK67" s="28"/>
      <c r="JL67" s="28"/>
      <c r="JM67" s="28"/>
      <c r="JN67" s="28"/>
      <c r="JO67" s="28"/>
      <c r="JP67" s="28"/>
      <c r="JQ67" s="28"/>
      <c r="JR67" s="28"/>
      <c r="JS67" s="28"/>
      <c r="JT67" s="28"/>
      <c r="JU67" s="28"/>
      <c r="JV67" s="28"/>
      <c r="JW67" s="28"/>
      <c r="JX67" s="28"/>
      <c r="JY67" s="28"/>
      <c r="JZ67" s="28"/>
      <c r="KA67" s="28"/>
      <c r="KB67" s="28"/>
      <c r="KC67" s="28"/>
      <c r="KD67" s="28"/>
      <c r="KE67" s="28"/>
      <c r="KF67" s="28"/>
      <c r="KG67" s="28"/>
      <c r="KH67" s="28"/>
      <c r="KI67" s="28"/>
      <c r="KJ67" s="28"/>
      <c r="KK67" s="28"/>
      <c r="KL67" s="28"/>
      <c r="KM67" s="28"/>
      <c r="KN67" s="28"/>
      <c r="KO67" s="28"/>
      <c r="KP67" s="28"/>
      <c r="KQ67" s="28"/>
      <c r="KR67" s="28"/>
      <c r="KS67" s="28"/>
      <c r="KT67" s="28"/>
      <c r="KU67" s="28"/>
      <c r="KV67" s="28"/>
      <c r="KW67" s="28"/>
      <c r="KX67" s="28"/>
      <c r="KY67" s="28"/>
      <c r="KZ67" s="28"/>
      <c r="LA67" s="28"/>
      <c r="LB67" s="28"/>
      <c r="LC67" s="28"/>
      <c r="LD67" s="28"/>
      <c r="LE67" s="28"/>
      <c r="LF67" s="28"/>
      <c r="LG67" s="28"/>
      <c r="LH67" s="28"/>
      <c r="LI67" s="28"/>
      <c r="LJ67" s="28"/>
      <c r="LK67" s="28"/>
      <c r="LL67" s="28"/>
      <c r="LM67" s="28"/>
      <c r="LN67" s="28"/>
      <c r="LO67" s="28"/>
      <c r="LP67" s="28"/>
      <c r="LQ67" s="28"/>
      <c r="LR67" s="28"/>
      <c r="LS67" s="28"/>
      <c r="LT67" s="28"/>
      <c r="LU67" s="28"/>
      <c r="LV67" s="28"/>
      <c r="LW67" s="28"/>
      <c r="LX67" s="28"/>
      <c r="LY67" s="28"/>
      <c r="LZ67" s="28"/>
      <c r="MA67" s="28"/>
      <c r="MB67" s="28"/>
      <c r="MC67" s="28"/>
      <c r="MD67" s="28"/>
      <c r="ME67" s="28"/>
      <c r="MF67" s="28"/>
      <c r="MG67" s="28"/>
      <c r="MH67" s="28"/>
      <c r="MI67" s="28"/>
      <c r="MJ67" s="28"/>
      <c r="MK67" s="28"/>
      <c r="ML67" s="28"/>
      <c r="MM67" s="28"/>
      <c r="MN67" s="28"/>
      <c r="MO67" s="28"/>
      <c r="MP67" s="28"/>
      <c r="MQ67" s="28"/>
      <c r="MR67" s="28"/>
      <c r="MS67" s="28"/>
      <c r="MT67" s="28"/>
      <c r="MU67" s="28"/>
      <c r="MV67" s="28"/>
      <c r="MW67" s="28"/>
      <c r="MX67" s="28"/>
      <c r="MY67" s="28"/>
      <c r="MZ67" s="28"/>
      <c r="NA67" s="28"/>
      <c r="NB67" s="28"/>
      <c r="NC67" s="28"/>
      <c r="ND67" s="28"/>
      <c r="NE67" s="28"/>
      <c r="NF67" s="28"/>
      <c r="NG67" s="28"/>
      <c r="NH67" s="28"/>
      <c r="NI67" s="28"/>
      <c r="NJ67" s="28"/>
      <c r="NK67" s="28"/>
      <c r="NL67" s="28"/>
      <c r="NM67" s="28"/>
      <c r="NN67" s="28"/>
      <c r="NO67" s="28"/>
      <c r="NP67" s="28"/>
      <c r="NQ67" s="28"/>
      <c r="NR67" s="28"/>
      <c r="NS67" s="28"/>
      <c r="NT67" s="28"/>
      <c r="NU67" s="28"/>
      <c r="NV67" s="28"/>
      <c r="NW67" s="28"/>
      <c r="NX67" s="28"/>
      <c r="NY67" s="28"/>
      <c r="NZ67" s="28"/>
      <c r="OA67" s="28"/>
      <c r="OB67" s="28"/>
      <c r="OC67" s="28"/>
      <c r="OD67" s="28"/>
      <c r="OE67" s="28"/>
    </row>
    <row r="68" spans="1:395" ht="15" customHeight="1" x14ac:dyDescent="0.25">
      <c r="A68" s="135"/>
      <c r="B68" s="157" t="s">
        <v>12</v>
      </c>
      <c r="C68" s="141" t="s">
        <v>13</v>
      </c>
      <c r="D68" s="160" t="s">
        <v>287</v>
      </c>
      <c r="E68" s="160" t="s">
        <v>15</v>
      </c>
      <c r="F68" s="161" t="s">
        <v>607</v>
      </c>
      <c r="G68" s="162" t="s">
        <v>500</v>
      </c>
      <c r="H68" s="161" t="s">
        <v>609</v>
      </c>
      <c r="I68" s="161" t="s">
        <v>615</v>
      </c>
      <c r="J68" s="161" t="s">
        <v>16</v>
      </c>
      <c r="K68" s="161" t="s">
        <v>606</v>
      </c>
      <c r="L68" s="161" t="s">
        <v>908</v>
      </c>
      <c r="M68" s="161" t="s">
        <v>615</v>
      </c>
      <c r="N68" s="161" t="s">
        <v>16</v>
      </c>
      <c r="O68" s="140"/>
      <c r="P68" s="161" t="s">
        <v>853</v>
      </c>
      <c r="Q68" s="161" t="s">
        <v>606</v>
      </c>
      <c r="R68" s="162" t="s">
        <v>910</v>
      </c>
      <c r="S68" s="162" t="s">
        <v>891</v>
      </c>
      <c r="T68" s="162" t="s">
        <v>892</v>
      </c>
      <c r="U68" s="163" t="s">
        <v>894</v>
      </c>
      <c r="V68" s="162" t="s">
        <v>870</v>
      </c>
      <c r="W68" s="163" t="s">
        <v>895</v>
      </c>
      <c r="X68" s="162" t="s">
        <v>893</v>
      </c>
      <c r="Y68" s="161" t="s">
        <v>596</v>
      </c>
      <c r="Z68" s="161" t="s">
        <v>861</v>
      </c>
      <c r="AA68" s="161" t="s">
        <v>860</v>
      </c>
      <c r="AB68" s="161" t="s">
        <v>859</v>
      </c>
      <c r="AC68" s="161" t="s">
        <v>858</v>
      </c>
      <c r="AD68" s="161" t="s">
        <v>874</v>
      </c>
      <c r="AE68" s="133"/>
      <c r="AF68" s="133"/>
      <c r="AG68" s="133"/>
      <c r="AH68" s="133"/>
    </row>
    <row r="69" spans="1:395" s="98" customFormat="1" ht="15" hidden="1" customHeight="1" x14ac:dyDescent="0.25">
      <c r="A69" s="135"/>
      <c r="B69" s="62" t="s">
        <v>440</v>
      </c>
      <c r="C69" s="62" t="s">
        <v>444</v>
      </c>
      <c r="D69" s="62" t="s">
        <v>942</v>
      </c>
      <c r="E69" s="196">
        <v>0</v>
      </c>
      <c r="F69" s="167" t="e">
        <f>IF($D$8="A VISTA",Planilha2!#REF!,Planilha2!#REF!)</f>
        <v>#REF!</v>
      </c>
      <c r="G69" s="168">
        <v>0.13</v>
      </c>
      <c r="H69" s="167" t="e">
        <f>IFERROR(F69*(1+G69),#REF!)</f>
        <v>#REF!</v>
      </c>
      <c r="I69" s="167" t="e">
        <f t="shared" si="14"/>
        <v>#REF!</v>
      </c>
      <c r="J69" s="169" t="e">
        <f t="shared" ref="J69:J76" si="80">SUM(E69*H69)</f>
        <v>#REF!</v>
      </c>
      <c r="K69" s="176" t="e">
        <f>Planilha2!#REF!</f>
        <v>#REF!</v>
      </c>
      <c r="L69" s="171" t="e">
        <f t="shared" ref="L69:L76" si="81">K69*G69+K69</f>
        <v>#REF!</v>
      </c>
      <c r="M69" s="176" t="e">
        <f t="shared" ref="M69:M76" si="82">K69*E69</f>
        <v>#REF!</v>
      </c>
      <c r="N69" s="176" t="e">
        <f t="shared" ref="N69:N76" si="83">L69*E69</f>
        <v>#REF!</v>
      </c>
      <c r="O69" s="140"/>
      <c r="P69" s="178" t="e">
        <f t="shared" ref="P69:P76" si="84">H69</f>
        <v>#REF!</v>
      </c>
      <c r="Q69" s="178" t="e">
        <f t="shared" ref="Q69:Q76" si="85">L69</f>
        <v>#REF!</v>
      </c>
      <c r="R69" s="172" t="e">
        <f t="shared" ref="R69:R76" si="86">F69</f>
        <v>#REF!</v>
      </c>
      <c r="S69" s="172" t="e">
        <f t="shared" ref="S69:S76" si="87">R69+R69*G69</f>
        <v>#REF!</v>
      </c>
      <c r="T69" s="172" t="e">
        <f t="shared" ref="T69:T76" si="88">E69*S69</f>
        <v>#REF!</v>
      </c>
      <c r="U69" s="172" t="e">
        <f t="shared" si="49"/>
        <v>#REF!</v>
      </c>
      <c r="V69" s="172" t="e">
        <f t="shared" si="50"/>
        <v>#REF!</v>
      </c>
      <c r="W69" s="172" t="e">
        <f t="shared" si="62"/>
        <v>#REF!</v>
      </c>
      <c r="X69" s="172" t="e">
        <f t="shared" ref="X69:X76" si="89">S69-W69</f>
        <v>#REF!</v>
      </c>
      <c r="Y69" s="176" t="e">
        <f t="shared" ref="Y69:Y76" si="90">X69*E69</f>
        <v>#REF!</v>
      </c>
      <c r="Z69" s="182" t="e">
        <f t="shared" ref="Z69:Z76" si="91">S69*E69</f>
        <v>#REF!</v>
      </c>
      <c r="AA69" s="182">
        <v>0</v>
      </c>
      <c r="AB69" s="182" t="e">
        <f t="shared" ref="AB69:AB76" si="92">S69*E69</f>
        <v>#REF!</v>
      </c>
      <c r="AC69" s="182" t="e">
        <f t="shared" ref="AC69:AC76" si="93">X69*E69</f>
        <v>#REF!</v>
      </c>
      <c r="AD69" s="173" t="e">
        <f t="shared" si="22"/>
        <v>#REF!</v>
      </c>
      <c r="AE69" s="133"/>
      <c r="AF69" s="133"/>
      <c r="AG69" s="133"/>
      <c r="AH69" s="133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  <c r="FS69" s="28"/>
      <c r="FT69" s="28"/>
      <c r="FU69" s="28"/>
      <c r="FV69" s="28"/>
      <c r="FW69" s="28"/>
      <c r="FX69" s="28"/>
      <c r="FY69" s="28"/>
      <c r="FZ69" s="28"/>
      <c r="GA69" s="28"/>
      <c r="GB69" s="28"/>
      <c r="GC69" s="28"/>
      <c r="GD69" s="28"/>
      <c r="GE69" s="28"/>
      <c r="GF69" s="28"/>
      <c r="GG69" s="28"/>
      <c r="GH69" s="28"/>
      <c r="GI69" s="28"/>
      <c r="GJ69" s="28"/>
      <c r="GK69" s="28"/>
      <c r="GL69" s="28"/>
      <c r="GM69" s="28"/>
      <c r="GN69" s="28"/>
      <c r="GO69" s="28"/>
      <c r="GP69" s="28"/>
      <c r="GQ69" s="28"/>
      <c r="GR69" s="28"/>
      <c r="GS69" s="28"/>
      <c r="GT69" s="28"/>
      <c r="GU69" s="28"/>
      <c r="GV69" s="28"/>
      <c r="GW69" s="28"/>
      <c r="GX69" s="28"/>
      <c r="GY69" s="28"/>
      <c r="GZ69" s="28"/>
      <c r="HA69" s="28"/>
      <c r="HB69" s="28"/>
      <c r="HC69" s="28"/>
      <c r="HD69" s="28"/>
      <c r="HE69" s="28"/>
      <c r="HF69" s="28"/>
      <c r="HG69" s="28"/>
      <c r="HH69" s="28"/>
      <c r="HI69" s="28"/>
      <c r="HJ69" s="28"/>
      <c r="HK69" s="28"/>
      <c r="HL69" s="28"/>
      <c r="HM69" s="28"/>
      <c r="HN69" s="28"/>
      <c r="HO69" s="28"/>
      <c r="HP69" s="28"/>
      <c r="HQ69" s="28"/>
      <c r="HR69" s="28"/>
      <c r="HS69" s="28"/>
      <c r="HT69" s="28"/>
      <c r="HU69" s="28"/>
      <c r="HV69" s="28"/>
      <c r="HW69" s="28"/>
      <c r="HX69" s="28"/>
      <c r="HY69" s="28"/>
      <c r="HZ69" s="28"/>
      <c r="IA69" s="28"/>
      <c r="IB69" s="28"/>
      <c r="IC69" s="28"/>
      <c r="ID69" s="28"/>
      <c r="IE69" s="28"/>
      <c r="IF69" s="28"/>
      <c r="IG69" s="28"/>
      <c r="IH69" s="28"/>
      <c r="II69" s="28"/>
      <c r="IJ69" s="28"/>
      <c r="IK69" s="28"/>
      <c r="IL69" s="28"/>
      <c r="IM69" s="28"/>
      <c r="IN69" s="28"/>
      <c r="IO69" s="28"/>
      <c r="IP69" s="28"/>
      <c r="IQ69" s="28"/>
      <c r="IR69" s="28"/>
      <c r="IS69" s="28"/>
      <c r="IT69" s="28"/>
      <c r="IU69" s="28"/>
      <c r="IV69" s="28"/>
      <c r="IW69" s="28"/>
      <c r="IX69" s="28"/>
      <c r="IY69" s="28"/>
      <c r="IZ69" s="28"/>
      <c r="JA69" s="28"/>
      <c r="JB69" s="28"/>
      <c r="JC69" s="28"/>
      <c r="JD69" s="28"/>
      <c r="JE69" s="28"/>
      <c r="JF69" s="28"/>
      <c r="JG69" s="28"/>
      <c r="JH69" s="28"/>
      <c r="JI69" s="28"/>
      <c r="JJ69" s="28"/>
      <c r="JK69" s="28"/>
      <c r="JL69" s="28"/>
      <c r="JM69" s="28"/>
      <c r="JN69" s="28"/>
      <c r="JO69" s="28"/>
      <c r="JP69" s="28"/>
      <c r="JQ69" s="28"/>
      <c r="JR69" s="28"/>
      <c r="JS69" s="28"/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/>
      <c r="KM69" s="28"/>
      <c r="KN69" s="28"/>
      <c r="KO69" s="28"/>
      <c r="KP69" s="28"/>
      <c r="KQ69" s="28"/>
      <c r="KR69" s="28"/>
      <c r="KS69" s="28"/>
      <c r="KT69" s="28"/>
      <c r="KU69" s="28"/>
      <c r="KV69" s="28"/>
      <c r="KW69" s="28"/>
      <c r="KX69" s="28"/>
      <c r="KY69" s="28"/>
      <c r="KZ69" s="28"/>
      <c r="LA69" s="28"/>
      <c r="LB69" s="28"/>
      <c r="LC69" s="28"/>
      <c r="LD69" s="28"/>
      <c r="LE69" s="28"/>
      <c r="LF69" s="28"/>
      <c r="LG69" s="28"/>
      <c r="LH69" s="28"/>
      <c r="LI69" s="28"/>
      <c r="LJ69" s="28"/>
      <c r="LK69" s="28"/>
      <c r="LL69" s="28"/>
      <c r="LM69" s="28"/>
      <c r="LN69" s="28"/>
      <c r="LO69" s="28"/>
      <c r="LP69" s="28"/>
      <c r="LQ69" s="28"/>
      <c r="LR69" s="28"/>
      <c r="LS69" s="28"/>
      <c r="LT69" s="28"/>
      <c r="LU69" s="28"/>
      <c r="LV69" s="28"/>
      <c r="LW69" s="28"/>
      <c r="LX69" s="28"/>
      <c r="LY69" s="28"/>
      <c r="LZ69" s="28"/>
      <c r="MA69" s="28"/>
      <c r="MB69" s="28"/>
      <c r="MC69" s="28"/>
      <c r="MD69" s="28"/>
      <c r="ME69" s="28"/>
      <c r="MF69" s="28"/>
      <c r="MG69" s="28"/>
      <c r="MH69" s="28"/>
      <c r="MI69" s="28"/>
      <c r="MJ69" s="28"/>
      <c r="MK69" s="28"/>
      <c r="ML69" s="28"/>
      <c r="MM69" s="28"/>
      <c r="MN69" s="28"/>
      <c r="MO69" s="28"/>
      <c r="MP69" s="28"/>
      <c r="MQ69" s="28"/>
      <c r="MR69" s="28"/>
      <c r="MS69" s="28"/>
      <c r="MT69" s="28"/>
      <c r="MU69" s="28"/>
      <c r="MV69" s="28"/>
      <c r="MW69" s="28"/>
      <c r="MX69" s="28"/>
      <c r="MY69" s="28"/>
      <c r="MZ69" s="28"/>
      <c r="NA69" s="28"/>
      <c r="NB69" s="28"/>
      <c r="NC69" s="28"/>
      <c r="ND69" s="28"/>
      <c r="NE69" s="28"/>
      <c r="NF69" s="28"/>
      <c r="NG69" s="28"/>
      <c r="NH69" s="28"/>
      <c r="NI69" s="28"/>
      <c r="NJ69" s="28"/>
      <c r="NK69" s="28"/>
      <c r="NL69" s="28"/>
      <c r="NM69" s="28"/>
      <c r="NN69" s="28"/>
      <c r="NO69" s="28"/>
      <c r="NP69" s="28"/>
      <c r="NQ69" s="28"/>
      <c r="NR69" s="28"/>
      <c r="NS69" s="28"/>
      <c r="NT69" s="28"/>
      <c r="NU69" s="28"/>
      <c r="NV69" s="28"/>
      <c r="NW69" s="28"/>
      <c r="NX69" s="28"/>
      <c r="NY69" s="28"/>
      <c r="NZ69" s="28"/>
      <c r="OA69" s="28"/>
      <c r="OB69" s="28"/>
      <c r="OC69" s="28"/>
      <c r="OD69" s="28"/>
      <c r="OE69" s="28"/>
    </row>
    <row r="70" spans="1:395" s="98" customFormat="1" ht="15" customHeight="1" x14ac:dyDescent="0.25">
      <c r="A70" s="135"/>
      <c r="B70" s="399" t="s">
        <v>300</v>
      </c>
      <c r="C70" s="399" t="s">
        <v>306</v>
      </c>
      <c r="D70" s="399" t="s">
        <v>943</v>
      </c>
      <c r="E70" s="410">
        <v>0</v>
      </c>
      <c r="F70" s="395">
        <f>IF($D$8="A VISTA",Planilha2!B54,Planilha2!B54)</f>
        <v>117.04</v>
      </c>
      <c r="G70" s="396">
        <v>0.13</v>
      </c>
      <c r="H70" s="395">
        <f>IFERROR(F70*(1+G70),#REF!)</f>
        <v>132.2552</v>
      </c>
      <c r="I70" s="395">
        <f t="shared" si="14"/>
        <v>0</v>
      </c>
      <c r="J70" s="397">
        <f t="shared" si="80"/>
        <v>0</v>
      </c>
      <c r="K70" s="176">
        <f>Planilha2!C54</f>
        <v>111.188</v>
      </c>
      <c r="L70" s="171">
        <f t="shared" si="81"/>
        <v>125.64244000000001</v>
      </c>
      <c r="M70" s="176">
        <f t="shared" si="82"/>
        <v>0</v>
      </c>
      <c r="N70" s="176">
        <f t="shared" si="83"/>
        <v>0</v>
      </c>
      <c r="O70" s="140"/>
      <c r="P70" s="178">
        <f t="shared" si="84"/>
        <v>132.2552</v>
      </c>
      <c r="Q70" s="178">
        <f t="shared" si="85"/>
        <v>125.64244000000001</v>
      </c>
      <c r="R70" s="172">
        <f t="shared" si="86"/>
        <v>117.04</v>
      </c>
      <c r="S70" s="172">
        <f t="shared" si="87"/>
        <v>132.2552</v>
      </c>
      <c r="T70" s="172">
        <f t="shared" si="88"/>
        <v>0</v>
      </c>
      <c r="U70" s="172">
        <f t="shared" si="49"/>
        <v>5.8520000000000003</v>
      </c>
      <c r="V70" s="172">
        <f t="shared" si="50"/>
        <v>111.188</v>
      </c>
      <c r="W70" s="172">
        <f t="shared" si="62"/>
        <v>6.6127600000000006</v>
      </c>
      <c r="X70" s="172">
        <f t="shared" si="89"/>
        <v>125.64244000000001</v>
      </c>
      <c r="Y70" s="176">
        <f t="shared" si="90"/>
        <v>0</v>
      </c>
      <c r="Z70" s="182">
        <f t="shared" si="91"/>
        <v>0</v>
      </c>
      <c r="AA70" s="182">
        <v>0</v>
      </c>
      <c r="AB70" s="182">
        <f t="shared" si="92"/>
        <v>0</v>
      </c>
      <c r="AC70" s="182">
        <f t="shared" si="93"/>
        <v>0</v>
      </c>
      <c r="AD70" s="173">
        <f t="shared" si="22"/>
        <v>125.64244000000001</v>
      </c>
      <c r="AE70" s="133"/>
      <c r="AF70" s="133"/>
      <c r="AG70" s="133"/>
      <c r="AH70" s="133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28"/>
      <c r="GV70" s="28"/>
      <c r="GW70" s="28"/>
      <c r="GX70" s="28"/>
      <c r="GY70" s="28"/>
      <c r="GZ70" s="28"/>
      <c r="HA70" s="28"/>
      <c r="HB70" s="28"/>
      <c r="HC70" s="28"/>
      <c r="HD70" s="28"/>
      <c r="HE70" s="28"/>
      <c r="HF70" s="28"/>
      <c r="HG70" s="28"/>
      <c r="HH70" s="28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28"/>
      <c r="HV70" s="28"/>
      <c r="HW70" s="28"/>
      <c r="HX70" s="28"/>
      <c r="HY70" s="28"/>
      <c r="HZ70" s="28"/>
      <c r="IA70" s="28"/>
      <c r="IB70" s="28"/>
      <c r="IC70" s="28"/>
      <c r="ID70" s="28"/>
      <c r="IE70" s="28"/>
      <c r="IF70" s="28"/>
      <c r="IG70" s="28"/>
      <c r="IH70" s="28"/>
      <c r="II70" s="28"/>
      <c r="IJ70" s="28"/>
      <c r="IK70" s="28"/>
      <c r="IL70" s="28"/>
      <c r="IM70" s="28"/>
      <c r="IN70" s="28"/>
      <c r="IO70" s="28"/>
      <c r="IP70" s="28"/>
      <c r="IQ70" s="28"/>
      <c r="IR70" s="28"/>
      <c r="IS70" s="28"/>
      <c r="IT70" s="28"/>
      <c r="IU70" s="28"/>
      <c r="IV70" s="28"/>
      <c r="IW70" s="28"/>
      <c r="IX70" s="28"/>
      <c r="IY70" s="28"/>
      <c r="IZ70" s="28"/>
      <c r="JA70" s="28"/>
      <c r="JB70" s="28"/>
      <c r="JC70" s="28"/>
      <c r="JD70" s="28"/>
      <c r="JE70" s="28"/>
      <c r="JF70" s="28"/>
      <c r="JG70" s="28"/>
      <c r="JH70" s="28"/>
      <c r="JI70" s="28"/>
      <c r="JJ70" s="28"/>
      <c r="JK70" s="28"/>
      <c r="JL70" s="28"/>
      <c r="JM70" s="28"/>
      <c r="JN70" s="28"/>
      <c r="JO70" s="28"/>
      <c r="JP70" s="28"/>
      <c r="JQ70" s="28"/>
      <c r="JR70" s="28"/>
      <c r="JS70" s="28"/>
      <c r="JT70" s="28"/>
      <c r="JU70" s="28"/>
      <c r="JV70" s="28"/>
      <c r="JW70" s="28"/>
      <c r="JX70" s="28"/>
      <c r="JY70" s="28"/>
      <c r="JZ70" s="28"/>
      <c r="KA70" s="28"/>
      <c r="KB70" s="28"/>
      <c r="KC70" s="28"/>
      <c r="KD70" s="28"/>
      <c r="KE70" s="28"/>
      <c r="KF70" s="28"/>
      <c r="KG70" s="28"/>
      <c r="KH70" s="28"/>
      <c r="KI70" s="28"/>
      <c r="KJ70" s="28"/>
      <c r="KK70" s="28"/>
      <c r="KL70" s="28"/>
      <c r="KM70" s="28"/>
      <c r="KN70" s="28"/>
      <c r="KO70" s="28"/>
      <c r="KP70" s="28"/>
      <c r="KQ70" s="28"/>
      <c r="KR70" s="28"/>
      <c r="KS70" s="28"/>
      <c r="KT70" s="28"/>
      <c r="KU70" s="28"/>
      <c r="KV70" s="28"/>
      <c r="KW70" s="28"/>
      <c r="KX70" s="28"/>
      <c r="KY70" s="28"/>
      <c r="KZ70" s="28"/>
      <c r="LA70" s="28"/>
      <c r="LB70" s="28"/>
      <c r="LC70" s="28"/>
      <c r="LD70" s="28"/>
      <c r="LE70" s="28"/>
      <c r="LF70" s="28"/>
      <c r="LG70" s="28"/>
      <c r="LH70" s="28"/>
      <c r="LI70" s="28"/>
      <c r="LJ70" s="28"/>
      <c r="LK70" s="28"/>
      <c r="LL70" s="28"/>
      <c r="LM70" s="28"/>
      <c r="LN70" s="28"/>
      <c r="LO70" s="28"/>
      <c r="LP70" s="28"/>
      <c r="LQ70" s="28"/>
      <c r="LR70" s="28"/>
      <c r="LS70" s="28"/>
      <c r="LT70" s="28"/>
      <c r="LU70" s="28"/>
      <c r="LV70" s="28"/>
      <c r="LW70" s="28"/>
      <c r="LX70" s="28"/>
      <c r="LY70" s="28"/>
      <c r="LZ70" s="28"/>
      <c r="MA70" s="28"/>
      <c r="MB70" s="28"/>
      <c r="MC70" s="28"/>
      <c r="MD70" s="28"/>
      <c r="ME70" s="28"/>
      <c r="MF70" s="28"/>
      <c r="MG70" s="28"/>
      <c r="MH70" s="28"/>
      <c r="MI70" s="28"/>
      <c r="MJ70" s="28"/>
      <c r="MK70" s="28"/>
      <c r="ML70" s="28"/>
      <c r="MM70" s="28"/>
      <c r="MN70" s="28"/>
      <c r="MO70" s="28"/>
      <c r="MP70" s="28"/>
      <c r="MQ70" s="28"/>
      <c r="MR70" s="28"/>
      <c r="MS70" s="28"/>
      <c r="MT70" s="28"/>
      <c r="MU70" s="28"/>
      <c r="MV70" s="28"/>
      <c r="MW70" s="28"/>
      <c r="MX70" s="28"/>
      <c r="MY70" s="28"/>
      <c r="MZ70" s="28"/>
      <c r="NA70" s="28"/>
      <c r="NB70" s="28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28"/>
      <c r="NP70" s="28"/>
      <c r="NQ70" s="28"/>
      <c r="NR70" s="28"/>
      <c r="NS70" s="28"/>
      <c r="NT70" s="28"/>
      <c r="NU70" s="28"/>
      <c r="NV70" s="28"/>
      <c r="NW70" s="28"/>
      <c r="NX70" s="28"/>
      <c r="NY70" s="28"/>
      <c r="NZ70" s="28"/>
      <c r="OA70" s="28"/>
      <c r="OB70" s="28"/>
      <c r="OC70" s="28"/>
      <c r="OD70" s="28"/>
      <c r="OE70" s="28"/>
    </row>
    <row r="71" spans="1:395" s="98" customFormat="1" ht="15" customHeight="1" x14ac:dyDescent="0.25">
      <c r="A71" s="135"/>
      <c r="B71" s="399" t="s">
        <v>301</v>
      </c>
      <c r="C71" s="399" t="s">
        <v>307</v>
      </c>
      <c r="D71" s="399" t="s">
        <v>944</v>
      </c>
      <c r="E71" s="410">
        <v>0</v>
      </c>
      <c r="F71" s="395">
        <f>IF($D$8="A VISTA",Planilha2!B55,Planilha2!B55)</f>
        <v>117.04</v>
      </c>
      <c r="G71" s="396">
        <v>0.13</v>
      </c>
      <c r="H71" s="395">
        <f>IFERROR(F71*(1+G71),#REF!)</f>
        <v>132.2552</v>
      </c>
      <c r="I71" s="395">
        <f t="shared" si="14"/>
        <v>0</v>
      </c>
      <c r="J71" s="397">
        <f t="shared" si="80"/>
        <v>0</v>
      </c>
      <c r="K71" s="176">
        <f>Planilha2!C55</f>
        <v>111.188</v>
      </c>
      <c r="L71" s="171">
        <f t="shared" si="81"/>
        <v>125.64244000000001</v>
      </c>
      <c r="M71" s="176">
        <f t="shared" si="82"/>
        <v>0</v>
      </c>
      <c r="N71" s="176">
        <f t="shared" si="83"/>
        <v>0</v>
      </c>
      <c r="O71" s="140"/>
      <c r="P71" s="178">
        <f t="shared" si="84"/>
        <v>132.2552</v>
      </c>
      <c r="Q71" s="178">
        <f t="shared" si="85"/>
        <v>125.64244000000001</v>
      </c>
      <c r="R71" s="172">
        <f t="shared" si="86"/>
        <v>117.04</v>
      </c>
      <c r="S71" s="172">
        <f t="shared" si="87"/>
        <v>132.2552</v>
      </c>
      <c r="T71" s="172">
        <f t="shared" si="88"/>
        <v>0</v>
      </c>
      <c r="U71" s="172">
        <f t="shared" si="49"/>
        <v>5.8520000000000003</v>
      </c>
      <c r="V71" s="172">
        <f t="shared" si="50"/>
        <v>111.188</v>
      </c>
      <c r="W71" s="172">
        <f t="shared" si="62"/>
        <v>6.6127600000000006</v>
      </c>
      <c r="X71" s="172">
        <f t="shared" si="89"/>
        <v>125.64244000000001</v>
      </c>
      <c r="Y71" s="176">
        <f t="shared" si="90"/>
        <v>0</v>
      </c>
      <c r="Z71" s="182">
        <f t="shared" si="91"/>
        <v>0</v>
      </c>
      <c r="AA71" s="182">
        <v>0</v>
      </c>
      <c r="AB71" s="182">
        <f t="shared" si="92"/>
        <v>0</v>
      </c>
      <c r="AC71" s="182">
        <f t="shared" si="93"/>
        <v>0</v>
      </c>
      <c r="AD71" s="173">
        <f t="shared" si="22"/>
        <v>125.64244000000001</v>
      </c>
      <c r="AE71" s="133"/>
      <c r="AF71" s="133"/>
      <c r="AG71" s="133"/>
      <c r="AH71" s="133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  <c r="JJ71" s="28"/>
      <c r="JK71" s="28"/>
      <c r="JL71" s="28"/>
      <c r="JM71" s="28"/>
      <c r="JN71" s="28"/>
      <c r="JO71" s="28"/>
      <c r="JP71" s="28"/>
      <c r="JQ71" s="28"/>
      <c r="JR71" s="28"/>
      <c r="JS71" s="28"/>
      <c r="JT71" s="28"/>
      <c r="JU71" s="28"/>
      <c r="JV71" s="28"/>
      <c r="JW71" s="28"/>
      <c r="JX71" s="28"/>
      <c r="JY71" s="28"/>
      <c r="JZ71" s="28"/>
      <c r="KA71" s="28"/>
      <c r="KB71" s="28"/>
      <c r="KC71" s="28"/>
      <c r="KD71" s="28"/>
      <c r="KE71" s="28"/>
      <c r="KF71" s="28"/>
      <c r="KG71" s="28"/>
      <c r="KH71" s="28"/>
      <c r="KI71" s="28"/>
      <c r="KJ71" s="28"/>
      <c r="KK71" s="28"/>
      <c r="KL71" s="28"/>
      <c r="KM71" s="28"/>
      <c r="KN71" s="28"/>
      <c r="KO71" s="28"/>
      <c r="KP71" s="28"/>
      <c r="KQ71" s="28"/>
      <c r="KR71" s="28"/>
      <c r="KS71" s="28"/>
      <c r="KT71" s="28"/>
      <c r="KU71" s="28"/>
      <c r="KV71" s="28"/>
      <c r="KW71" s="28"/>
      <c r="KX71" s="28"/>
      <c r="KY71" s="28"/>
      <c r="KZ71" s="28"/>
      <c r="LA71" s="28"/>
      <c r="LB71" s="28"/>
      <c r="LC71" s="28"/>
      <c r="LD71" s="28"/>
      <c r="LE71" s="28"/>
      <c r="LF71" s="28"/>
      <c r="LG71" s="28"/>
      <c r="LH71" s="28"/>
      <c r="LI71" s="28"/>
      <c r="LJ71" s="28"/>
      <c r="LK71" s="28"/>
      <c r="LL71" s="28"/>
      <c r="LM71" s="28"/>
      <c r="LN71" s="28"/>
      <c r="LO71" s="28"/>
      <c r="LP71" s="28"/>
      <c r="LQ71" s="28"/>
      <c r="LR71" s="28"/>
      <c r="LS71" s="28"/>
      <c r="LT71" s="28"/>
      <c r="LU71" s="28"/>
      <c r="LV71" s="28"/>
      <c r="LW71" s="28"/>
      <c r="LX71" s="28"/>
      <c r="LY71" s="28"/>
      <c r="LZ71" s="28"/>
      <c r="MA71" s="28"/>
      <c r="MB71" s="28"/>
      <c r="MC71" s="28"/>
      <c r="MD71" s="28"/>
      <c r="ME71" s="28"/>
      <c r="MF71" s="28"/>
      <c r="MG71" s="28"/>
      <c r="MH71" s="28"/>
      <c r="MI71" s="28"/>
      <c r="MJ71" s="28"/>
      <c r="MK71" s="28"/>
      <c r="ML71" s="28"/>
      <c r="MM71" s="28"/>
      <c r="MN71" s="28"/>
      <c r="MO71" s="28"/>
      <c r="MP71" s="28"/>
      <c r="MQ71" s="28"/>
      <c r="MR71" s="28"/>
      <c r="MS71" s="28"/>
      <c r="MT71" s="28"/>
      <c r="MU71" s="28"/>
      <c r="MV71" s="28"/>
      <c r="MW71" s="28"/>
      <c r="MX71" s="28"/>
      <c r="MY71" s="28"/>
      <c r="MZ71" s="28"/>
      <c r="NA71" s="28"/>
      <c r="NB71" s="28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28"/>
      <c r="NS71" s="28"/>
      <c r="NT71" s="28"/>
      <c r="NU71" s="28"/>
      <c r="NV71" s="28"/>
      <c r="NW71" s="28"/>
      <c r="NX71" s="28"/>
      <c r="NY71" s="28"/>
      <c r="NZ71" s="28"/>
      <c r="OA71" s="28"/>
      <c r="OB71" s="28"/>
      <c r="OC71" s="28"/>
      <c r="OD71" s="28"/>
      <c r="OE71" s="28"/>
    </row>
    <row r="72" spans="1:395" s="98" customFormat="1" ht="15" customHeight="1" x14ac:dyDescent="0.25">
      <c r="A72" s="135"/>
      <c r="B72" s="399" t="s">
        <v>302</v>
      </c>
      <c r="C72" s="399" t="s">
        <v>308</v>
      </c>
      <c r="D72" s="399" t="s">
        <v>945</v>
      </c>
      <c r="E72" s="410">
        <v>0</v>
      </c>
      <c r="F72" s="395">
        <f>IF($D$8="A VISTA",Planilha2!B56,Planilha2!B56)</f>
        <v>131.12</v>
      </c>
      <c r="G72" s="396">
        <v>0.13</v>
      </c>
      <c r="H72" s="395">
        <f>IFERROR(F72*(1+G72),#REF!)</f>
        <v>148.16559999999998</v>
      </c>
      <c r="I72" s="395">
        <f t="shared" si="14"/>
        <v>0</v>
      </c>
      <c r="J72" s="397">
        <f t="shared" si="80"/>
        <v>0</v>
      </c>
      <c r="K72" s="176">
        <f>Planilha2!C56</f>
        <v>124.56400000000001</v>
      </c>
      <c r="L72" s="171">
        <f t="shared" si="81"/>
        <v>140.75731999999999</v>
      </c>
      <c r="M72" s="176">
        <f t="shared" si="82"/>
        <v>0</v>
      </c>
      <c r="N72" s="176">
        <f t="shared" si="83"/>
        <v>0</v>
      </c>
      <c r="O72" s="140"/>
      <c r="P72" s="178">
        <f t="shared" si="84"/>
        <v>148.16559999999998</v>
      </c>
      <c r="Q72" s="178">
        <f t="shared" si="85"/>
        <v>140.75731999999999</v>
      </c>
      <c r="R72" s="172">
        <f t="shared" si="86"/>
        <v>131.12</v>
      </c>
      <c r="S72" s="172">
        <f t="shared" si="87"/>
        <v>148.16560000000001</v>
      </c>
      <c r="T72" s="172">
        <f t="shared" si="88"/>
        <v>0</v>
      </c>
      <c r="U72" s="172">
        <f t="shared" si="49"/>
        <v>6.5560000000000009</v>
      </c>
      <c r="V72" s="172">
        <f t="shared" si="50"/>
        <v>124.56400000000001</v>
      </c>
      <c r="W72" s="172">
        <f t="shared" si="62"/>
        <v>7.4082800000000013</v>
      </c>
      <c r="X72" s="172">
        <f t="shared" si="89"/>
        <v>140.75732000000002</v>
      </c>
      <c r="Y72" s="176">
        <f t="shared" si="90"/>
        <v>0</v>
      </c>
      <c r="Z72" s="182">
        <f t="shared" si="91"/>
        <v>0</v>
      </c>
      <c r="AA72" s="182">
        <v>0</v>
      </c>
      <c r="AB72" s="182">
        <f t="shared" si="92"/>
        <v>0</v>
      </c>
      <c r="AC72" s="182">
        <f t="shared" si="93"/>
        <v>0</v>
      </c>
      <c r="AD72" s="173">
        <f t="shared" si="22"/>
        <v>140.75732000000002</v>
      </c>
      <c r="AE72" s="133"/>
      <c r="AF72" s="133"/>
      <c r="AG72" s="133"/>
      <c r="AH72" s="133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  <c r="IJ72" s="28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8"/>
      <c r="JE72" s="28"/>
      <c r="JF72" s="28"/>
      <c r="JG72" s="28"/>
      <c r="JH72" s="28"/>
      <c r="JI72" s="28"/>
      <c r="JJ72" s="28"/>
      <c r="JK72" s="28"/>
      <c r="JL72" s="28"/>
      <c r="JM72" s="28"/>
      <c r="JN72" s="28"/>
      <c r="JO72" s="28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8"/>
      <c r="KE72" s="28"/>
      <c r="KF72" s="28"/>
      <c r="KG72" s="28"/>
      <c r="KH72" s="28"/>
      <c r="KI72" s="28"/>
      <c r="KJ72" s="28"/>
      <c r="KK72" s="28"/>
      <c r="KL72" s="28"/>
      <c r="KM72" s="28"/>
      <c r="KN72" s="28"/>
      <c r="KO72" s="28"/>
      <c r="KP72" s="28"/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/>
      <c r="LR72" s="28"/>
      <c r="LS72" s="28"/>
      <c r="LT72" s="28"/>
      <c r="LU72" s="28"/>
      <c r="LV72" s="28"/>
      <c r="LW72" s="28"/>
      <c r="LX72" s="28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28"/>
      <c r="MN72" s="28"/>
      <c r="MO72" s="28"/>
      <c r="MP72" s="28"/>
      <c r="MQ72" s="28"/>
      <c r="MR72" s="28"/>
      <c r="MS72" s="28"/>
      <c r="MT72" s="28"/>
      <c r="MU72" s="28"/>
      <c r="MV72" s="28"/>
      <c r="MW72" s="28"/>
      <c r="MX72" s="28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8"/>
      <c r="OE72" s="28"/>
    </row>
    <row r="73" spans="1:395" s="98" customFormat="1" ht="15" hidden="1" customHeight="1" x14ac:dyDescent="0.25">
      <c r="A73" s="135"/>
      <c r="B73" s="399" t="s">
        <v>442</v>
      </c>
      <c r="C73" s="399" t="s">
        <v>445</v>
      </c>
      <c r="D73" s="399" t="s">
        <v>946</v>
      </c>
      <c r="E73" s="410">
        <v>0</v>
      </c>
      <c r="F73" s="395">
        <f>IF($D$8="A VISTA",Planilha2!B57,Planilha2!B57)</f>
        <v>79</v>
      </c>
      <c r="G73" s="396">
        <v>0.13</v>
      </c>
      <c r="H73" s="395">
        <f>IFERROR(F73*(1+G73),#REF!)</f>
        <v>89.27</v>
      </c>
      <c r="I73" s="395">
        <f t="shared" si="14"/>
        <v>0</v>
      </c>
      <c r="J73" s="397">
        <f t="shared" si="80"/>
        <v>0</v>
      </c>
      <c r="K73" s="176">
        <f>Planilha2!C57</f>
        <v>75.05</v>
      </c>
      <c r="L73" s="171">
        <f t="shared" si="81"/>
        <v>84.8065</v>
      </c>
      <c r="M73" s="176">
        <f t="shared" si="82"/>
        <v>0</v>
      </c>
      <c r="N73" s="176">
        <f t="shared" si="83"/>
        <v>0</v>
      </c>
      <c r="O73" s="140"/>
      <c r="P73" s="178">
        <f t="shared" si="84"/>
        <v>89.27</v>
      </c>
      <c r="Q73" s="178">
        <f t="shared" si="85"/>
        <v>84.8065</v>
      </c>
      <c r="R73" s="172">
        <f t="shared" si="86"/>
        <v>79</v>
      </c>
      <c r="S73" s="172">
        <f t="shared" si="87"/>
        <v>89.27</v>
      </c>
      <c r="T73" s="172">
        <f t="shared" si="88"/>
        <v>0</v>
      </c>
      <c r="U73" s="172">
        <f t="shared" si="49"/>
        <v>3.95</v>
      </c>
      <c r="V73" s="172">
        <f t="shared" si="50"/>
        <v>75.05</v>
      </c>
      <c r="W73" s="172">
        <f t="shared" si="62"/>
        <v>4.4634999999999998</v>
      </c>
      <c r="X73" s="172">
        <f t="shared" si="89"/>
        <v>84.8065</v>
      </c>
      <c r="Y73" s="176">
        <f t="shared" si="90"/>
        <v>0</v>
      </c>
      <c r="Z73" s="182">
        <f t="shared" si="91"/>
        <v>0</v>
      </c>
      <c r="AA73" s="182">
        <v>0</v>
      </c>
      <c r="AB73" s="182">
        <f t="shared" si="92"/>
        <v>0</v>
      </c>
      <c r="AC73" s="182">
        <f t="shared" si="93"/>
        <v>0</v>
      </c>
      <c r="AD73" s="173">
        <f t="shared" si="22"/>
        <v>84.8065</v>
      </c>
      <c r="AE73" s="133"/>
      <c r="AF73" s="133"/>
      <c r="AG73" s="133"/>
      <c r="AH73" s="133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  <c r="IJ73" s="28"/>
      <c r="IK73" s="28"/>
      <c r="IL73" s="28"/>
      <c r="IM73" s="28"/>
      <c r="IN73" s="28"/>
      <c r="IO73" s="28"/>
      <c r="IP73" s="28"/>
      <c r="IQ73" s="28"/>
      <c r="IR73" s="28"/>
      <c r="IS73" s="28"/>
      <c r="IT73" s="28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</row>
    <row r="74" spans="1:395" s="98" customFormat="1" ht="15" customHeight="1" x14ac:dyDescent="0.25">
      <c r="A74" s="135"/>
      <c r="B74" s="399" t="s">
        <v>304</v>
      </c>
      <c r="C74" s="399" t="s">
        <v>309</v>
      </c>
      <c r="D74" s="399" t="s">
        <v>947</v>
      </c>
      <c r="E74" s="410">
        <v>0</v>
      </c>
      <c r="F74" s="395">
        <f>IF($D$8="A VISTA",Planilha2!B58,Planilha2!B58)</f>
        <v>189.2</v>
      </c>
      <c r="G74" s="396">
        <v>0.13</v>
      </c>
      <c r="H74" s="395">
        <f>IFERROR(F74*(1+G74),#REF!)</f>
        <v>213.79599999999996</v>
      </c>
      <c r="I74" s="395">
        <f t="shared" si="14"/>
        <v>0</v>
      </c>
      <c r="J74" s="397">
        <f t="shared" si="80"/>
        <v>0</v>
      </c>
      <c r="K74" s="176">
        <f>Planilha2!C58</f>
        <v>179.73999999999998</v>
      </c>
      <c r="L74" s="171">
        <f t="shared" si="81"/>
        <v>203.10619999999997</v>
      </c>
      <c r="M74" s="176">
        <f t="shared" si="82"/>
        <v>0</v>
      </c>
      <c r="N74" s="176">
        <f t="shared" si="83"/>
        <v>0</v>
      </c>
      <c r="O74" s="140"/>
      <c r="P74" s="178">
        <f t="shared" si="84"/>
        <v>213.79599999999996</v>
      </c>
      <c r="Q74" s="178">
        <f t="shared" si="85"/>
        <v>203.10619999999997</v>
      </c>
      <c r="R74" s="172">
        <f t="shared" si="86"/>
        <v>189.2</v>
      </c>
      <c r="S74" s="172">
        <f t="shared" si="87"/>
        <v>213.79599999999999</v>
      </c>
      <c r="T74" s="172">
        <f t="shared" si="88"/>
        <v>0</v>
      </c>
      <c r="U74" s="172">
        <f t="shared" si="49"/>
        <v>9.4599999999999991</v>
      </c>
      <c r="V74" s="172">
        <f t="shared" si="50"/>
        <v>179.73999999999998</v>
      </c>
      <c r="W74" s="172">
        <f t="shared" si="62"/>
        <v>10.6898</v>
      </c>
      <c r="X74" s="172">
        <f t="shared" si="89"/>
        <v>203.1062</v>
      </c>
      <c r="Y74" s="176">
        <f t="shared" si="90"/>
        <v>0</v>
      </c>
      <c r="Z74" s="182">
        <f t="shared" si="91"/>
        <v>0</v>
      </c>
      <c r="AA74" s="182">
        <v>0</v>
      </c>
      <c r="AB74" s="182">
        <f t="shared" si="92"/>
        <v>0</v>
      </c>
      <c r="AC74" s="182">
        <f t="shared" si="93"/>
        <v>0</v>
      </c>
      <c r="AD74" s="173">
        <f t="shared" si="22"/>
        <v>203.1062</v>
      </c>
      <c r="AE74" s="133"/>
      <c r="AF74" s="133"/>
      <c r="AG74" s="133"/>
      <c r="AH74" s="133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28"/>
      <c r="GJ74" s="28"/>
      <c r="GK74" s="28"/>
      <c r="GL74" s="28"/>
      <c r="GM74" s="28"/>
      <c r="GN74" s="28"/>
      <c r="GO74" s="28"/>
      <c r="GP74" s="28"/>
      <c r="GQ74" s="28"/>
      <c r="GR74" s="28"/>
      <c r="GS74" s="28"/>
      <c r="GT74" s="28"/>
      <c r="GU74" s="28"/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28"/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  <c r="IJ74" s="28"/>
      <c r="IK74" s="28"/>
      <c r="IL74" s="28"/>
      <c r="IM74" s="28"/>
      <c r="IN74" s="28"/>
      <c r="IO74" s="28"/>
      <c r="IP74" s="28"/>
      <c r="IQ74" s="28"/>
      <c r="IR74" s="28"/>
      <c r="IS74" s="28"/>
      <c r="IT74" s="28"/>
      <c r="IU74" s="28"/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  <c r="JJ74" s="28"/>
      <c r="JK74" s="28"/>
      <c r="JL74" s="28"/>
      <c r="JM74" s="28"/>
      <c r="JN74" s="28"/>
      <c r="JO74" s="28"/>
      <c r="JP74" s="28"/>
      <c r="JQ74" s="28"/>
      <c r="JR74" s="28"/>
      <c r="JS74" s="28"/>
      <c r="JT74" s="28"/>
      <c r="JU74" s="28"/>
      <c r="JV74" s="28"/>
      <c r="JW74" s="28"/>
      <c r="JX74" s="28"/>
      <c r="JY74" s="28"/>
      <c r="JZ74" s="28"/>
      <c r="KA74" s="28"/>
      <c r="KB74" s="28"/>
      <c r="KC74" s="28"/>
      <c r="KD74" s="28"/>
      <c r="KE74" s="28"/>
      <c r="KF74" s="28"/>
      <c r="KG74" s="28"/>
      <c r="KH74" s="28"/>
      <c r="KI74" s="28"/>
      <c r="KJ74" s="28"/>
      <c r="KK74" s="28"/>
      <c r="KL74" s="28"/>
      <c r="KM74" s="28"/>
      <c r="KN74" s="28"/>
      <c r="KO74" s="28"/>
      <c r="KP74" s="28"/>
      <c r="KQ74" s="28"/>
      <c r="KR74" s="28"/>
      <c r="KS74" s="28"/>
      <c r="KT74" s="28"/>
      <c r="KU74" s="28"/>
      <c r="KV74" s="28"/>
      <c r="KW74" s="28"/>
      <c r="KX74" s="28"/>
      <c r="KY74" s="28"/>
      <c r="KZ74" s="28"/>
      <c r="LA74" s="28"/>
      <c r="LB74" s="28"/>
      <c r="LC74" s="28"/>
      <c r="LD74" s="28"/>
      <c r="LE74" s="28"/>
      <c r="LF74" s="28"/>
      <c r="LG74" s="28"/>
      <c r="LH74" s="28"/>
      <c r="LI74" s="28"/>
      <c r="LJ74" s="28"/>
      <c r="LK74" s="28"/>
      <c r="LL74" s="28"/>
      <c r="LM74" s="28"/>
      <c r="LN74" s="28"/>
      <c r="LO74" s="28"/>
      <c r="LP74" s="28"/>
      <c r="LQ74" s="28"/>
      <c r="LR74" s="28"/>
      <c r="LS74" s="28"/>
      <c r="LT74" s="28"/>
      <c r="LU74" s="28"/>
      <c r="LV74" s="28"/>
      <c r="LW74" s="28"/>
      <c r="LX74" s="28"/>
      <c r="LY74" s="28"/>
      <c r="LZ74" s="28"/>
      <c r="MA74" s="28"/>
      <c r="MB74" s="28"/>
      <c r="MC74" s="28"/>
      <c r="MD74" s="28"/>
      <c r="ME74" s="28"/>
      <c r="MF74" s="28"/>
      <c r="MG74" s="28"/>
      <c r="MH74" s="28"/>
      <c r="MI74" s="28"/>
      <c r="MJ74" s="28"/>
      <c r="MK74" s="28"/>
      <c r="ML74" s="28"/>
      <c r="MM74" s="28"/>
      <c r="MN74" s="28"/>
      <c r="MO74" s="28"/>
      <c r="MP74" s="28"/>
      <c r="MQ74" s="28"/>
      <c r="MR74" s="28"/>
      <c r="MS74" s="28"/>
      <c r="MT74" s="28"/>
      <c r="MU74" s="28"/>
      <c r="MV74" s="28"/>
      <c r="MW74" s="28"/>
      <c r="MX74" s="28"/>
      <c r="MY74" s="28"/>
      <c r="MZ74" s="28"/>
      <c r="NA74" s="28"/>
      <c r="NB74" s="28"/>
      <c r="NC74" s="28"/>
      <c r="ND74" s="28"/>
      <c r="NE74" s="28"/>
      <c r="NF74" s="28"/>
      <c r="NG74" s="28"/>
      <c r="NH74" s="28"/>
      <c r="NI74" s="28"/>
      <c r="NJ74" s="28"/>
      <c r="NK74" s="28"/>
      <c r="NL74" s="28"/>
      <c r="NM74" s="28"/>
      <c r="NN74" s="28"/>
      <c r="NO74" s="28"/>
      <c r="NP74" s="28"/>
      <c r="NQ74" s="28"/>
      <c r="NR74" s="28"/>
      <c r="NS74" s="28"/>
      <c r="NT74" s="28"/>
      <c r="NU74" s="28"/>
      <c r="NV74" s="28"/>
      <c r="NW74" s="28"/>
      <c r="NX74" s="28"/>
      <c r="NY74" s="28"/>
      <c r="NZ74" s="28"/>
      <c r="OA74" s="28"/>
      <c r="OB74" s="28"/>
      <c r="OC74" s="28"/>
      <c r="OD74" s="28"/>
      <c r="OE74" s="28"/>
    </row>
    <row r="75" spans="1:395" s="98" customFormat="1" ht="15" customHeight="1" x14ac:dyDescent="0.25">
      <c r="A75" s="135"/>
      <c r="B75" s="399" t="s">
        <v>443</v>
      </c>
      <c r="C75" s="399" t="s">
        <v>446</v>
      </c>
      <c r="D75" s="399" t="s">
        <v>948</v>
      </c>
      <c r="E75" s="410">
        <v>0</v>
      </c>
      <c r="F75" s="395">
        <f>IF($D$8="A VISTA",Planilha2!B59,Planilha2!B59)</f>
        <v>150.47999999999999</v>
      </c>
      <c r="G75" s="396">
        <v>0.13</v>
      </c>
      <c r="H75" s="395">
        <f>IFERROR(F75*(1+G75),#REF!)</f>
        <v>170.04239999999999</v>
      </c>
      <c r="I75" s="395">
        <f t="shared" si="14"/>
        <v>0</v>
      </c>
      <c r="J75" s="397">
        <f t="shared" si="80"/>
        <v>0</v>
      </c>
      <c r="K75" s="176">
        <f>Planilha2!C59</f>
        <v>142.95599999999999</v>
      </c>
      <c r="L75" s="171">
        <f t="shared" si="81"/>
        <v>161.54028</v>
      </c>
      <c r="M75" s="176">
        <f t="shared" si="82"/>
        <v>0</v>
      </c>
      <c r="N75" s="176">
        <f t="shared" si="83"/>
        <v>0</v>
      </c>
      <c r="O75" s="140"/>
      <c r="P75" s="178">
        <f t="shared" si="84"/>
        <v>170.04239999999999</v>
      </c>
      <c r="Q75" s="178">
        <f t="shared" si="85"/>
        <v>161.54028</v>
      </c>
      <c r="R75" s="172">
        <f t="shared" si="86"/>
        <v>150.47999999999999</v>
      </c>
      <c r="S75" s="172">
        <f t="shared" si="87"/>
        <v>170.04239999999999</v>
      </c>
      <c r="T75" s="172">
        <f t="shared" si="88"/>
        <v>0</v>
      </c>
      <c r="U75" s="172">
        <f t="shared" si="49"/>
        <v>7.524</v>
      </c>
      <c r="V75" s="172">
        <f t="shared" si="50"/>
        <v>142.95599999999999</v>
      </c>
      <c r="W75" s="172">
        <f t="shared" si="62"/>
        <v>8.5021199999999997</v>
      </c>
      <c r="X75" s="172">
        <f t="shared" si="89"/>
        <v>161.54028</v>
      </c>
      <c r="Y75" s="176">
        <f t="shared" si="90"/>
        <v>0</v>
      </c>
      <c r="Z75" s="182">
        <f t="shared" si="91"/>
        <v>0</v>
      </c>
      <c r="AA75" s="182">
        <v>0</v>
      </c>
      <c r="AB75" s="182">
        <f t="shared" si="92"/>
        <v>0</v>
      </c>
      <c r="AC75" s="182">
        <f t="shared" si="93"/>
        <v>0</v>
      </c>
      <c r="AD75" s="173">
        <f t="shared" si="22"/>
        <v>161.54028</v>
      </c>
      <c r="AE75" s="133"/>
      <c r="AF75" s="133"/>
      <c r="AG75" s="133"/>
      <c r="AH75" s="133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</row>
    <row r="76" spans="1:395" s="98" customFormat="1" ht="15" customHeight="1" x14ac:dyDescent="0.25">
      <c r="A76" s="135"/>
      <c r="B76" s="399" t="s">
        <v>305</v>
      </c>
      <c r="C76" s="399" t="s">
        <v>310</v>
      </c>
      <c r="D76" s="399" t="s">
        <v>949</v>
      </c>
      <c r="E76" s="410">
        <v>0</v>
      </c>
      <c r="F76" s="395">
        <f>IF($D$8="A VISTA",Planilha2!B60,Planilha2!B60)</f>
        <v>144.32</v>
      </c>
      <c r="G76" s="396">
        <v>0.13</v>
      </c>
      <c r="H76" s="395">
        <f>IFERROR(F76*(1+G76),#REF!)</f>
        <v>163.08159999999998</v>
      </c>
      <c r="I76" s="395">
        <f t="shared" si="14"/>
        <v>0</v>
      </c>
      <c r="J76" s="397">
        <f t="shared" si="80"/>
        <v>0</v>
      </c>
      <c r="K76" s="176">
        <f>Planilha2!C60</f>
        <v>137.10399999999998</v>
      </c>
      <c r="L76" s="171">
        <f t="shared" si="81"/>
        <v>154.92751999999999</v>
      </c>
      <c r="M76" s="176">
        <f t="shared" si="82"/>
        <v>0</v>
      </c>
      <c r="N76" s="176">
        <f t="shared" si="83"/>
        <v>0</v>
      </c>
      <c r="O76" s="140"/>
      <c r="P76" s="178">
        <f t="shared" si="84"/>
        <v>163.08159999999998</v>
      </c>
      <c r="Q76" s="178">
        <f t="shared" si="85"/>
        <v>154.92751999999999</v>
      </c>
      <c r="R76" s="172">
        <f t="shared" si="86"/>
        <v>144.32</v>
      </c>
      <c r="S76" s="172">
        <f t="shared" si="87"/>
        <v>163.08159999999998</v>
      </c>
      <c r="T76" s="172">
        <f t="shared" si="88"/>
        <v>0</v>
      </c>
      <c r="U76" s="172">
        <f t="shared" si="49"/>
        <v>7.2160000000000002</v>
      </c>
      <c r="V76" s="172">
        <f t="shared" si="50"/>
        <v>137.10399999999998</v>
      </c>
      <c r="W76" s="172">
        <f t="shared" si="62"/>
        <v>8.1540799999999987</v>
      </c>
      <c r="X76" s="172">
        <f t="shared" si="89"/>
        <v>154.92751999999999</v>
      </c>
      <c r="Y76" s="176">
        <f t="shared" si="90"/>
        <v>0</v>
      </c>
      <c r="Z76" s="182">
        <f t="shared" si="91"/>
        <v>0</v>
      </c>
      <c r="AA76" s="182">
        <v>0</v>
      </c>
      <c r="AB76" s="182">
        <f t="shared" si="92"/>
        <v>0</v>
      </c>
      <c r="AC76" s="182">
        <f t="shared" si="93"/>
        <v>0</v>
      </c>
      <c r="AD76" s="173">
        <f t="shared" si="22"/>
        <v>154.92751999999999</v>
      </c>
      <c r="AE76" s="133"/>
      <c r="AF76" s="133"/>
      <c r="AG76" s="133"/>
      <c r="AH76" s="133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  <c r="GF76" s="28"/>
      <c r="GG76" s="28"/>
      <c r="GH76" s="28"/>
      <c r="GI76" s="28"/>
      <c r="GJ76" s="28"/>
      <c r="GK76" s="28"/>
      <c r="GL76" s="28"/>
      <c r="GM76" s="28"/>
      <c r="GN76" s="28"/>
      <c r="GO76" s="28"/>
      <c r="GP76" s="28"/>
      <c r="GQ76" s="28"/>
      <c r="GR76" s="28"/>
      <c r="GS76" s="28"/>
      <c r="GT76" s="28"/>
      <c r="GU76" s="28"/>
      <c r="GV76" s="28"/>
      <c r="GW76" s="28"/>
      <c r="GX76" s="28"/>
      <c r="GY76" s="28"/>
      <c r="GZ76" s="28"/>
      <c r="HA76" s="28"/>
      <c r="HB76" s="28"/>
      <c r="HC76" s="28"/>
      <c r="HD76" s="28"/>
      <c r="HE76" s="28"/>
      <c r="HF76" s="28"/>
      <c r="HG76" s="28"/>
      <c r="HH76" s="28"/>
      <c r="HI76" s="28"/>
      <c r="HJ76" s="28"/>
      <c r="HK76" s="28"/>
      <c r="HL76" s="28"/>
      <c r="HM76" s="28"/>
      <c r="HN76" s="28"/>
      <c r="HO76" s="28"/>
      <c r="HP76" s="28"/>
      <c r="HQ76" s="28"/>
      <c r="HR76" s="28"/>
      <c r="HS76" s="28"/>
      <c r="HT76" s="28"/>
      <c r="HU76" s="28"/>
      <c r="HV76" s="28"/>
      <c r="HW76" s="28"/>
      <c r="HX76" s="28"/>
      <c r="HY76" s="28"/>
      <c r="HZ76" s="28"/>
      <c r="IA76" s="28"/>
      <c r="IB76" s="28"/>
      <c r="IC76" s="28"/>
      <c r="ID76" s="28"/>
      <c r="IE76" s="28"/>
      <c r="IF76" s="28"/>
      <c r="IG76" s="28"/>
      <c r="IH76" s="28"/>
      <c r="II76" s="28"/>
      <c r="IJ76" s="28"/>
      <c r="IK76" s="28"/>
      <c r="IL76" s="28"/>
      <c r="IM76" s="28"/>
      <c r="IN76" s="28"/>
      <c r="IO76" s="28"/>
      <c r="IP76" s="28"/>
      <c r="IQ76" s="28"/>
      <c r="IR76" s="28"/>
      <c r="IS76" s="28"/>
      <c r="IT76" s="28"/>
      <c r="IU76" s="28"/>
      <c r="IV76" s="28"/>
      <c r="IW76" s="28"/>
      <c r="IX76" s="28"/>
      <c r="IY76" s="28"/>
      <c r="IZ76" s="28"/>
      <c r="JA76" s="28"/>
      <c r="JB76" s="28"/>
      <c r="JC76" s="28"/>
      <c r="JD76" s="28"/>
      <c r="JE76" s="28"/>
      <c r="JF76" s="28"/>
      <c r="JG76" s="28"/>
      <c r="JH76" s="28"/>
      <c r="JI76" s="28"/>
      <c r="JJ76" s="28"/>
      <c r="JK76" s="28"/>
      <c r="JL76" s="28"/>
      <c r="JM76" s="28"/>
      <c r="JN76" s="28"/>
      <c r="JO76" s="28"/>
      <c r="JP76" s="28"/>
      <c r="JQ76" s="28"/>
      <c r="JR76" s="28"/>
      <c r="JS76" s="28"/>
      <c r="JT76" s="28"/>
      <c r="JU76" s="28"/>
      <c r="JV76" s="28"/>
      <c r="JW76" s="28"/>
      <c r="JX76" s="28"/>
      <c r="JY76" s="28"/>
      <c r="JZ76" s="28"/>
      <c r="KA76" s="28"/>
      <c r="KB76" s="28"/>
      <c r="KC76" s="28"/>
      <c r="KD76" s="28"/>
      <c r="KE76" s="28"/>
      <c r="KF76" s="28"/>
      <c r="KG76" s="28"/>
      <c r="KH76" s="28"/>
      <c r="KI76" s="28"/>
      <c r="KJ76" s="28"/>
      <c r="KK76" s="28"/>
      <c r="KL76" s="28"/>
      <c r="KM76" s="28"/>
      <c r="KN76" s="28"/>
      <c r="KO76" s="28"/>
      <c r="KP76" s="28"/>
      <c r="KQ76" s="28"/>
      <c r="KR76" s="28"/>
      <c r="KS76" s="28"/>
      <c r="KT76" s="28"/>
      <c r="KU76" s="28"/>
      <c r="KV76" s="28"/>
      <c r="KW76" s="28"/>
      <c r="KX76" s="28"/>
      <c r="KY76" s="28"/>
      <c r="KZ76" s="28"/>
      <c r="LA76" s="28"/>
      <c r="LB76" s="28"/>
      <c r="LC76" s="28"/>
      <c r="LD76" s="28"/>
      <c r="LE76" s="28"/>
      <c r="LF76" s="28"/>
      <c r="LG76" s="28"/>
      <c r="LH76" s="28"/>
      <c r="LI76" s="28"/>
      <c r="LJ76" s="28"/>
      <c r="LK76" s="28"/>
      <c r="LL76" s="28"/>
      <c r="LM76" s="28"/>
      <c r="LN76" s="28"/>
      <c r="LO76" s="28"/>
      <c r="LP76" s="28"/>
      <c r="LQ76" s="28"/>
      <c r="LR76" s="28"/>
      <c r="LS76" s="28"/>
      <c r="LT76" s="28"/>
      <c r="LU76" s="28"/>
      <c r="LV76" s="28"/>
      <c r="LW76" s="28"/>
      <c r="LX76" s="28"/>
      <c r="LY76" s="28"/>
      <c r="LZ76" s="28"/>
      <c r="MA76" s="28"/>
      <c r="MB76" s="28"/>
      <c r="MC76" s="28"/>
      <c r="MD76" s="28"/>
      <c r="ME76" s="28"/>
      <c r="MF76" s="28"/>
      <c r="MG76" s="28"/>
      <c r="MH76" s="28"/>
      <c r="MI76" s="28"/>
      <c r="MJ76" s="28"/>
      <c r="MK76" s="28"/>
      <c r="ML76" s="28"/>
      <c r="MM76" s="28"/>
      <c r="MN76" s="28"/>
      <c r="MO76" s="28"/>
      <c r="MP76" s="28"/>
      <c r="MQ76" s="28"/>
      <c r="MR76" s="28"/>
      <c r="MS76" s="28"/>
      <c r="MT76" s="28"/>
      <c r="MU76" s="28"/>
      <c r="MV76" s="28"/>
      <c r="MW76" s="28"/>
      <c r="MX76" s="28"/>
      <c r="MY76" s="28"/>
      <c r="MZ76" s="28"/>
      <c r="NA76" s="28"/>
      <c r="NB76" s="28"/>
      <c r="NC76" s="28"/>
      <c r="ND76" s="28"/>
      <c r="NE76" s="28"/>
      <c r="NF76" s="28"/>
      <c r="NG76" s="28"/>
      <c r="NH76" s="28"/>
      <c r="NI76" s="28"/>
      <c r="NJ76" s="28"/>
      <c r="NK76" s="28"/>
      <c r="NL76" s="28"/>
      <c r="NM76" s="28"/>
      <c r="NN76" s="28"/>
      <c r="NO76" s="28"/>
      <c r="NP76" s="28"/>
      <c r="NQ76" s="28"/>
      <c r="NR76" s="28"/>
      <c r="NS76" s="28"/>
      <c r="NT76" s="28"/>
      <c r="NU76" s="28"/>
      <c r="NV76" s="28"/>
      <c r="NW76" s="28"/>
      <c r="NX76" s="28"/>
      <c r="NY76" s="28"/>
      <c r="NZ76" s="28"/>
      <c r="OA76" s="28"/>
      <c r="OB76" s="28"/>
      <c r="OC76" s="28"/>
      <c r="OD76" s="28"/>
      <c r="OE76" s="28"/>
    </row>
    <row r="77" spans="1:395" ht="15" customHeight="1" x14ac:dyDescent="0.25">
      <c r="A77" s="135"/>
      <c r="B77" s="157" t="s">
        <v>12</v>
      </c>
      <c r="C77" s="141" t="s">
        <v>13</v>
      </c>
      <c r="D77" s="160" t="s">
        <v>45</v>
      </c>
      <c r="E77" s="160" t="s">
        <v>15</v>
      </c>
      <c r="F77" s="161" t="s">
        <v>607</v>
      </c>
      <c r="G77" s="162" t="s">
        <v>500</v>
      </c>
      <c r="H77" s="161" t="s">
        <v>609</v>
      </c>
      <c r="I77" s="161" t="s">
        <v>615</v>
      </c>
      <c r="J77" s="161" t="s">
        <v>16</v>
      </c>
      <c r="K77" s="161" t="s">
        <v>606</v>
      </c>
      <c r="L77" s="162" t="s">
        <v>908</v>
      </c>
      <c r="M77" s="161" t="s">
        <v>615</v>
      </c>
      <c r="N77" s="161" t="s">
        <v>16</v>
      </c>
      <c r="O77" s="140"/>
      <c r="P77" s="161" t="s">
        <v>853</v>
      </c>
      <c r="Q77" s="161" t="s">
        <v>606</v>
      </c>
      <c r="R77" s="162" t="s">
        <v>910</v>
      </c>
      <c r="S77" s="162" t="s">
        <v>891</v>
      </c>
      <c r="T77" s="162" t="s">
        <v>892</v>
      </c>
      <c r="U77" s="163" t="s">
        <v>894</v>
      </c>
      <c r="V77" s="162" t="s">
        <v>870</v>
      </c>
      <c r="W77" s="163" t="s">
        <v>895</v>
      </c>
      <c r="X77" s="162" t="s">
        <v>893</v>
      </c>
      <c r="Y77" s="161" t="s">
        <v>596</v>
      </c>
      <c r="Z77" s="161" t="s">
        <v>861</v>
      </c>
      <c r="AA77" s="161" t="s">
        <v>860</v>
      </c>
      <c r="AB77" s="161" t="s">
        <v>859</v>
      </c>
      <c r="AC77" s="161" t="s">
        <v>858</v>
      </c>
      <c r="AD77" s="161" t="s">
        <v>874</v>
      </c>
      <c r="AE77" s="133"/>
      <c r="AF77" s="133"/>
      <c r="AG77" s="133"/>
      <c r="AH77" s="133"/>
    </row>
    <row r="78" spans="1:395" ht="15" customHeight="1" x14ac:dyDescent="0.25">
      <c r="A78" s="135"/>
      <c r="B78" s="64" t="s">
        <v>46</v>
      </c>
      <c r="C78" s="62" t="s">
        <v>47</v>
      </c>
      <c r="D78" s="66" t="s">
        <v>882</v>
      </c>
      <c r="E78" s="166">
        <v>0</v>
      </c>
      <c r="F78" s="167">
        <f>IF($D$8="A VISTA",Planilha2!B62,Planilha2!B62)</f>
        <v>186.11</v>
      </c>
      <c r="G78" s="168">
        <v>0.13</v>
      </c>
      <c r="H78" s="167">
        <f>IFERROR(F78*(1+G78),#REF!)</f>
        <v>210.30429999999998</v>
      </c>
      <c r="I78" s="167">
        <f t="shared" si="14"/>
        <v>0</v>
      </c>
      <c r="J78" s="169">
        <f>SUM(E78*H78)</f>
        <v>0</v>
      </c>
      <c r="K78" s="170">
        <f>Planilha2!C62</f>
        <v>176.80450000000002</v>
      </c>
      <c r="L78" s="171">
        <f>K78*G78+K78</f>
        <v>199.78908500000003</v>
      </c>
      <c r="M78" s="170">
        <f>K78*E78</f>
        <v>0</v>
      </c>
      <c r="N78" s="170">
        <f>L78*E78</f>
        <v>0</v>
      </c>
      <c r="O78" s="140"/>
      <c r="P78" s="170">
        <f>H78</f>
        <v>210.30429999999998</v>
      </c>
      <c r="Q78" s="170">
        <f>L78</f>
        <v>199.78908500000003</v>
      </c>
      <c r="R78" s="172">
        <f>F78</f>
        <v>186.11</v>
      </c>
      <c r="S78" s="172">
        <f>H78</f>
        <v>210.30429999999998</v>
      </c>
      <c r="T78" s="172">
        <f>J78</f>
        <v>0</v>
      </c>
      <c r="U78" s="172">
        <f t="shared" ref="U78:U79" si="94">R78*5%</f>
        <v>9.3055000000000003</v>
      </c>
      <c r="V78" s="172">
        <f t="shared" ref="V78:V79" si="95">R78-U78</f>
        <v>176.80450000000002</v>
      </c>
      <c r="W78" s="172">
        <f t="shared" si="62"/>
        <v>10.515215</v>
      </c>
      <c r="X78" s="172">
        <f>L78</f>
        <v>199.78908500000003</v>
      </c>
      <c r="Y78" s="170">
        <f>X78*E78</f>
        <v>0</v>
      </c>
      <c r="Z78" s="170">
        <v>0</v>
      </c>
      <c r="AA78" s="170">
        <f>R78*J78</f>
        <v>0</v>
      </c>
      <c r="AB78" s="171">
        <f>S78*E78</f>
        <v>0</v>
      </c>
      <c r="AC78" s="171">
        <f>X78*E78</f>
        <v>0</v>
      </c>
      <c r="AD78" s="173">
        <f t="shared" si="22"/>
        <v>199.78908500000003</v>
      </c>
      <c r="AE78" s="133"/>
      <c r="AF78" s="133"/>
      <c r="AG78" s="133"/>
      <c r="AH78" s="133"/>
    </row>
    <row r="79" spans="1:395" s="28" customFormat="1" ht="15" customHeight="1" x14ac:dyDescent="0.25">
      <c r="A79" s="135"/>
      <c r="B79" s="62" t="s">
        <v>280</v>
      </c>
      <c r="C79" s="165">
        <v>7898670764772</v>
      </c>
      <c r="D79" s="66" t="s">
        <v>950</v>
      </c>
      <c r="E79" s="166">
        <v>0</v>
      </c>
      <c r="F79" s="167">
        <f>IF($D$8="A VISTA",Planilha2!B63,Planilha2!B63)</f>
        <v>187.72</v>
      </c>
      <c r="G79" s="168">
        <v>0.13</v>
      </c>
      <c r="H79" s="167">
        <f>IFERROR(F79*(1+G79),#REF!)</f>
        <v>212.12359999999998</v>
      </c>
      <c r="I79" s="167">
        <f t="shared" si="14"/>
        <v>0</v>
      </c>
      <c r="J79" s="169">
        <f>SUM(E79*H79)</f>
        <v>0</v>
      </c>
      <c r="K79" s="170">
        <f>Planilha2!C63</f>
        <v>178.334</v>
      </c>
      <c r="L79" s="171">
        <f>K79*G79+K79</f>
        <v>201.51742000000002</v>
      </c>
      <c r="M79" s="170">
        <f>K79*E79</f>
        <v>0</v>
      </c>
      <c r="N79" s="170">
        <f>L79*E79</f>
        <v>0</v>
      </c>
      <c r="O79" s="140"/>
      <c r="P79" s="170">
        <f>H79</f>
        <v>212.12359999999998</v>
      </c>
      <c r="Q79" s="170">
        <f>L79</f>
        <v>201.51742000000002</v>
      </c>
      <c r="R79" s="172">
        <f>F79</f>
        <v>187.72</v>
      </c>
      <c r="S79" s="172">
        <f>H79</f>
        <v>212.12359999999998</v>
      </c>
      <c r="T79" s="172">
        <f>J79</f>
        <v>0</v>
      </c>
      <c r="U79" s="172">
        <f t="shared" si="94"/>
        <v>9.386000000000001</v>
      </c>
      <c r="V79" s="172">
        <f t="shared" si="95"/>
        <v>178.334</v>
      </c>
      <c r="W79" s="172">
        <f t="shared" si="62"/>
        <v>10.60618</v>
      </c>
      <c r="X79" s="172">
        <f>L79</f>
        <v>201.51742000000002</v>
      </c>
      <c r="Y79" s="170">
        <f>X79*E79</f>
        <v>0</v>
      </c>
      <c r="Z79" s="170">
        <v>0</v>
      </c>
      <c r="AA79" s="170">
        <f>R79*J79</f>
        <v>0</v>
      </c>
      <c r="AB79" s="171">
        <f>S79*E79</f>
        <v>0</v>
      </c>
      <c r="AC79" s="171">
        <f>X79*E79</f>
        <v>0</v>
      </c>
      <c r="AD79" s="173">
        <f t="shared" si="22"/>
        <v>201.51742000000002</v>
      </c>
      <c r="AE79" s="133"/>
      <c r="AF79" s="133"/>
      <c r="AG79" s="133"/>
      <c r="AH79" s="133"/>
    </row>
    <row r="80" spans="1:395" ht="15" customHeight="1" x14ac:dyDescent="0.25">
      <c r="A80" s="135"/>
      <c r="B80" s="157" t="s">
        <v>12</v>
      </c>
      <c r="C80" s="158" t="s">
        <v>13</v>
      </c>
      <c r="D80" s="160" t="s">
        <v>49</v>
      </c>
      <c r="E80" s="160" t="s">
        <v>15</v>
      </c>
      <c r="F80" s="161" t="s">
        <v>607</v>
      </c>
      <c r="G80" s="162" t="s">
        <v>500</v>
      </c>
      <c r="H80" s="161" t="s">
        <v>609</v>
      </c>
      <c r="I80" s="161" t="s">
        <v>615</v>
      </c>
      <c r="J80" s="161" t="s">
        <v>16</v>
      </c>
      <c r="K80" s="161" t="s">
        <v>606</v>
      </c>
      <c r="L80" s="162" t="s">
        <v>908</v>
      </c>
      <c r="M80" s="161" t="s">
        <v>615</v>
      </c>
      <c r="N80" s="161" t="s">
        <v>16</v>
      </c>
      <c r="O80" s="140"/>
      <c r="P80" s="161" t="s">
        <v>853</v>
      </c>
      <c r="Q80" s="161" t="s">
        <v>606</v>
      </c>
      <c r="R80" s="162" t="s">
        <v>909</v>
      </c>
      <c r="S80" s="162" t="s">
        <v>891</v>
      </c>
      <c r="T80" s="162" t="s">
        <v>892</v>
      </c>
      <c r="U80" s="163" t="s">
        <v>894</v>
      </c>
      <c r="V80" s="162" t="s">
        <v>870</v>
      </c>
      <c r="W80" s="163" t="s">
        <v>895</v>
      </c>
      <c r="X80" s="162" t="s">
        <v>893</v>
      </c>
      <c r="Y80" s="161" t="s">
        <v>596</v>
      </c>
      <c r="Z80" s="161" t="s">
        <v>861</v>
      </c>
      <c r="AA80" s="161" t="s">
        <v>860</v>
      </c>
      <c r="AB80" s="161" t="s">
        <v>859</v>
      </c>
      <c r="AC80" s="161" t="s">
        <v>858</v>
      </c>
      <c r="AD80" s="161" t="s">
        <v>874</v>
      </c>
      <c r="AE80" s="133"/>
      <c r="AF80" s="133"/>
      <c r="AG80" s="133"/>
      <c r="AH80" s="133"/>
    </row>
    <row r="81" spans="1:395" s="28" customFormat="1" ht="15" customHeight="1" x14ac:dyDescent="0.25">
      <c r="A81" s="135"/>
      <c r="B81" s="320" t="s">
        <v>51</v>
      </c>
      <c r="C81" s="321" t="s">
        <v>52</v>
      </c>
      <c r="D81" s="321" t="s">
        <v>216</v>
      </c>
      <c r="E81" s="300">
        <v>0</v>
      </c>
      <c r="F81" s="301">
        <f>IF($D$8="A VISTA",Planilha2!B65,Planilha2!B65)</f>
        <v>38.9</v>
      </c>
      <c r="G81" s="302">
        <v>0</v>
      </c>
      <c r="H81" s="301">
        <f>IFERROR(F81*(1+G81),#REF!)</f>
        <v>38.9</v>
      </c>
      <c r="I81" s="301">
        <f t="shared" si="14"/>
        <v>0</v>
      </c>
      <c r="J81" s="303">
        <f>SUM(E81*H81)</f>
        <v>0</v>
      </c>
      <c r="K81" s="176">
        <f>Planilha2!C65</f>
        <v>36.954999999999998</v>
      </c>
      <c r="L81" s="171">
        <f>K81*G81+K81</f>
        <v>36.954999999999998</v>
      </c>
      <c r="M81" s="176">
        <f>K81*E81</f>
        <v>0</v>
      </c>
      <c r="N81" s="176">
        <f>L81*E81</f>
        <v>0</v>
      </c>
      <c r="O81" s="140"/>
      <c r="P81" s="176">
        <f>H81</f>
        <v>38.9</v>
      </c>
      <c r="Q81" s="176">
        <f>L81</f>
        <v>36.954999999999998</v>
      </c>
      <c r="R81" s="172">
        <f>PROMO!C59</f>
        <v>38.9</v>
      </c>
      <c r="S81" s="172">
        <f>R81+R81*G81</f>
        <v>38.9</v>
      </c>
      <c r="T81" s="172">
        <f>E81*S81</f>
        <v>0</v>
      </c>
      <c r="U81" s="172">
        <f t="shared" ref="U81:U85" si="96">R81*5%</f>
        <v>1.9450000000000001</v>
      </c>
      <c r="V81" s="172">
        <f t="shared" ref="V81:V85" si="97">R81-U81</f>
        <v>36.954999999999998</v>
      </c>
      <c r="W81" s="172">
        <f t="shared" si="62"/>
        <v>1.9450000000000001</v>
      </c>
      <c r="X81" s="172">
        <f>S81-W81</f>
        <v>36.954999999999998</v>
      </c>
      <c r="Y81" s="172">
        <f>X81*E81</f>
        <v>0</v>
      </c>
      <c r="Z81" s="176">
        <f>S81*E81</f>
        <v>0</v>
      </c>
      <c r="AA81" s="176">
        <f>Z81*5%</f>
        <v>0</v>
      </c>
      <c r="AB81" s="176">
        <f>S81*E81</f>
        <v>0</v>
      </c>
      <c r="AC81" s="176">
        <f>X81*E81</f>
        <v>0</v>
      </c>
      <c r="AD81" s="267">
        <f t="shared" si="22"/>
        <v>36.954999999999998</v>
      </c>
      <c r="AE81" s="133"/>
      <c r="AF81" s="133"/>
      <c r="AG81" s="133"/>
      <c r="AH81" s="133"/>
    </row>
    <row r="82" spans="1:395" s="28" customFormat="1" ht="15" customHeight="1" x14ac:dyDescent="0.25">
      <c r="A82" s="135"/>
      <c r="B82" s="66" t="s">
        <v>53</v>
      </c>
      <c r="C82" s="62" t="s">
        <v>54</v>
      </c>
      <c r="D82" s="62" t="s">
        <v>217</v>
      </c>
      <c r="E82" s="166">
        <v>0</v>
      </c>
      <c r="F82" s="167">
        <f>IF($D$8="A VISTA",Planilha2!B66,Planilha2!B66)</f>
        <v>42.58</v>
      </c>
      <c r="G82" s="168">
        <v>0</v>
      </c>
      <c r="H82" s="167">
        <f>IFERROR(F82*(1+G82),#REF!)</f>
        <v>42.58</v>
      </c>
      <c r="I82" s="167">
        <f t="shared" si="14"/>
        <v>0</v>
      </c>
      <c r="J82" s="169">
        <f>SUM(E82*H82)</f>
        <v>0</v>
      </c>
      <c r="K82" s="176">
        <f>Planilha2!C66</f>
        <v>40.451000000000001</v>
      </c>
      <c r="L82" s="171">
        <f>K82*G82+K82</f>
        <v>40.451000000000001</v>
      </c>
      <c r="M82" s="176">
        <f>K82*E82</f>
        <v>0</v>
      </c>
      <c r="N82" s="176">
        <f>L82*E82</f>
        <v>0</v>
      </c>
      <c r="O82" s="140"/>
      <c r="P82" s="176">
        <f>H82</f>
        <v>42.58</v>
      </c>
      <c r="Q82" s="176">
        <f>L82</f>
        <v>40.451000000000001</v>
      </c>
      <c r="R82" s="172">
        <f>PROMO!C60</f>
        <v>36.799999999999997</v>
      </c>
      <c r="S82" s="172">
        <f>R82+R82*G82</f>
        <v>36.799999999999997</v>
      </c>
      <c r="T82" s="172">
        <f>E82*S82</f>
        <v>0</v>
      </c>
      <c r="U82" s="172">
        <f t="shared" si="96"/>
        <v>1.8399999999999999</v>
      </c>
      <c r="V82" s="172">
        <f t="shared" si="97"/>
        <v>34.959999999999994</v>
      </c>
      <c r="W82" s="172">
        <f t="shared" si="62"/>
        <v>1.8399999999999999</v>
      </c>
      <c r="X82" s="172">
        <f>S82-W82</f>
        <v>34.959999999999994</v>
      </c>
      <c r="Y82" s="172">
        <f>X82*E82</f>
        <v>0</v>
      </c>
      <c r="Z82" s="176">
        <f>S82*E82</f>
        <v>0</v>
      </c>
      <c r="AA82" s="176">
        <f>Z82*5%</f>
        <v>0</v>
      </c>
      <c r="AB82" s="176">
        <f>S82*E82</f>
        <v>0</v>
      </c>
      <c r="AC82" s="176">
        <f>X82*E82</f>
        <v>0</v>
      </c>
      <c r="AD82" s="267">
        <f t="shared" si="22"/>
        <v>34.959999999999994</v>
      </c>
      <c r="AE82" s="133"/>
      <c r="AF82" s="133"/>
      <c r="AG82" s="133"/>
      <c r="AH82" s="133"/>
    </row>
    <row r="83" spans="1:395" s="98" customFormat="1" ht="15" customHeight="1" x14ac:dyDescent="0.25">
      <c r="A83" s="135"/>
      <c r="B83" s="66" t="s">
        <v>55</v>
      </c>
      <c r="C83" s="198" t="s">
        <v>56</v>
      </c>
      <c r="D83" s="62" t="s">
        <v>951</v>
      </c>
      <c r="E83" s="166">
        <v>0</v>
      </c>
      <c r="F83" s="167">
        <f>IF($D$8="A VISTA",Planilha2!B67,Planilha2!B67)</f>
        <v>42.58</v>
      </c>
      <c r="G83" s="168">
        <v>0</v>
      </c>
      <c r="H83" s="167">
        <f>IFERROR(F83*(1+G83),#REF!)</f>
        <v>42.58</v>
      </c>
      <c r="I83" s="167">
        <f t="shared" si="14"/>
        <v>0</v>
      </c>
      <c r="J83" s="169">
        <f>SUM(E83*H83)</f>
        <v>0</v>
      </c>
      <c r="K83" s="178">
        <f>Planilha2!C67</f>
        <v>40.451000000000001</v>
      </c>
      <c r="L83" s="179">
        <f>K83*G83+K83</f>
        <v>40.451000000000001</v>
      </c>
      <c r="M83" s="178">
        <f>K83*E83</f>
        <v>0</v>
      </c>
      <c r="N83" s="178">
        <f>L83*E83</f>
        <v>0</v>
      </c>
      <c r="O83" s="140"/>
      <c r="P83" s="178">
        <f>H83</f>
        <v>42.58</v>
      </c>
      <c r="Q83" s="178">
        <f>L83</f>
        <v>40.451000000000001</v>
      </c>
      <c r="R83" s="188">
        <f>PROMO!C62</f>
        <v>27.9</v>
      </c>
      <c r="S83" s="188">
        <f>R83+R83*G83</f>
        <v>27.9</v>
      </c>
      <c r="T83" s="188">
        <f>E83*S83</f>
        <v>0</v>
      </c>
      <c r="U83" s="199">
        <f t="shared" si="96"/>
        <v>1.395</v>
      </c>
      <c r="V83" s="188">
        <f t="shared" si="97"/>
        <v>26.504999999999999</v>
      </c>
      <c r="W83" s="199">
        <f t="shared" si="62"/>
        <v>1.395</v>
      </c>
      <c r="X83" s="188">
        <f>S83-W83</f>
        <v>26.504999999999999</v>
      </c>
      <c r="Y83" s="199">
        <f>X83*E83</f>
        <v>0</v>
      </c>
      <c r="Z83" s="182">
        <f>S83*E83</f>
        <v>0</v>
      </c>
      <c r="AA83" s="182">
        <f>Z83*5%</f>
        <v>0</v>
      </c>
      <c r="AB83" s="182">
        <f>S83*E83</f>
        <v>0</v>
      </c>
      <c r="AC83" s="178">
        <f>X83*E83</f>
        <v>0</v>
      </c>
      <c r="AD83" s="197">
        <f t="shared" si="22"/>
        <v>26.504999999999999</v>
      </c>
      <c r="AE83" s="133"/>
      <c r="AF83" s="133"/>
      <c r="AG83" s="133"/>
      <c r="AH83" s="133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  <c r="GF83" s="28"/>
      <c r="GG83" s="28"/>
      <c r="GH83" s="28"/>
      <c r="GI83" s="28"/>
      <c r="GJ83" s="28"/>
      <c r="GK83" s="28"/>
      <c r="GL83" s="28"/>
      <c r="GM83" s="28"/>
      <c r="GN83" s="28"/>
      <c r="GO83" s="28"/>
      <c r="GP83" s="28"/>
      <c r="GQ83" s="28"/>
      <c r="GR83" s="28"/>
      <c r="GS83" s="28"/>
      <c r="GT83" s="28"/>
      <c r="GU83" s="28"/>
      <c r="GV83" s="28"/>
      <c r="GW83" s="28"/>
      <c r="GX83" s="28"/>
      <c r="GY83" s="28"/>
      <c r="GZ83" s="28"/>
      <c r="HA83" s="28"/>
      <c r="HB83" s="28"/>
      <c r="HC83" s="28"/>
      <c r="HD83" s="28"/>
      <c r="HE83" s="28"/>
      <c r="HF83" s="28"/>
      <c r="HG83" s="28"/>
      <c r="HH83" s="28"/>
      <c r="HI83" s="28"/>
      <c r="HJ83" s="28"/>
      <c r="HK83" s="28"/>
      <c r="HL83" s="28"/>
      <c r="HM83" s="28"/>
      <c r="HN83" s="28"/>
      <c r="HO83" s="28"/>
      <c r="HP83" s="28"/>
      <c r="HQ83" s="28"/>
      <c r="HR83" s="28"/>
      <c r="HS83" s="28"/>
      <c r="HT83" s="28"/>
      <c r="HU83" s="28"/>
      <c r="HV83" s="28"/>
      <c r="HW83" s="28"/>
      <c r="HX83" s="28"/>
      <c r="HY83" s="28"/>
      <c r="HZ83" s="28"/>
      <c r="IA83" s="28"/>
      <c r="IB83" s="28"/>
      <c r="IC83" s="28"/>
      <c r="ID83" s="28"/>
      <c r="IE83" s="28"/>
      <c r="IF83" s="28"/>
      <c r="IG83" s="28"/>
      <c r="IH83" s="28"/>
      <c r="II83" s="28"/>
      <c r="IJ83" s="28"/>
      <c r="IK83" s="28"/>
      <c r="IL83" s="28"/>
      <c r="IM83" s="28"/>
      <c r="IN83" s="28"/>
      <c r="IO83" s="28"/>
      <c r="IP83" s="28"/>
      <c r="IQ83" s="28"/>
      <c r="IR83" s="28"/>
      <c r="IS83" s="28"/>
      <c r="IT83" s="28"/>
      <c r="IU83" s="28"/>
      <c r="IV83" s="28"/>
      <c r="IW83" s="28"/>
      <c r="IX83" s="28"/>
      <c r="IY83" s="28"/>
      <c r="IZ83" s="28"/>
      <c r="JA83" s="28"/>
      <c r="JB83" s="28"/>
      <c r="JC83" s="28"/>
      <c r="JD83" s="28"/>
      <c r="JE83" s="28"/>
      <c r="JF83" s="28"/>
      <c r="JG83" s="28"/>
      <c r="JH83" s="28"/>
      <c r="JI83" s="28"/>
      <c r="JJ83" s="28"/>
      <c r="JK83" s="28"/>
      <c r="JL83" s="28"/>
      <c r="JM83" s="28"/>
      <c r="JN83" s="28"/>
      <c r="JO83" s="28"/>
      <c r="JP83" s="28"/>
      <c r="JQ83" s="28"/>
      <c r="JR83" s="28"/>
      <c r="JS83" s="28"/>
      <c r="JT83" s="28"/>
      <c r="JU83" s="28"/>
      <c r="JV83" s="28"/>
      <c r="JW83" s="28"/>
      <c r="JX83" s="28"/>
      <c r="JY83" s="28"/>
      <c r="JZ83" s="28"/>
      <c r="KA83" s="28"/>
      <c r="KB83" s="28"/>
      <c r="KC83" s="28"/>
      <c r="KD83" s="28"/>
      <c r="KE83" s="28"/>
      <c r="KF83" s="28"/>
      <c r="KG83" s="28"/>
      <c r="KH83" s="28"/>
      <c r="KI83" s="28"/>
      <c r="KJ83" s="28"/>
      <c r="KK83" s="28"/>
      <c r="KL83" s="28"/>
      <c r="KM83" s="28"/>
      <c r="KN83" s="28"/>
      <c r="KO83" s="28"/>
      <c r="KP83" s="28"/>
      <c r="KQ83" s="28"/>
      <c r="KR83" s="28"/>
      <c r="KS83" s="28"/>
      <c r="KT83" s="28"/>
      <c r="KU83" s="28"/>
      <c r="KV83" s="28"/>
      <c r="KW83" s="28"/>
      <c r="KX83" s="28"/>
      <c r="KY83" s="28"/>
      <c r="KZ83" s="28"/>
      <c r="LA83" s="28"/>
      <c r="LB83" s="28"/>
      <c r="LC83" s="28"/>
      <c r="LD83" s="28"/>
      <c r="LE83" s="28"/>
      <c r="LF83" s="28"/>
      <c r="LG83" s="28"/>
      <c r="LH83" s="28"/>
      <c r="LI83" s="28"/>
      <c r="LJ83" s="28"/>
      <c r="LK83" s="28"/>
      <c r="LL83" s="28"/>
      <c r="LM83" s="28"/>
      <c r="LN83" s="28"/>
      <c r="LO83" s="28"/>
      <c r="LP83" s="28"/>
      <c r="LQ83" s="28"/>
      <c r="LR83" s="28"/>
      <c r="LS83" s="28"/>
      <c r="LT83" s="28"/>
      <c r="LU83" s="28"/>
      <c r="LV83" s="28"/>
      <c r="LW83" s="28"/>
      <c r="LX83" s="28"/>
      <c r="LY83" s="28"/>
      <c r="LZ83" s="28"/>
      <c r="MA83" s="28"/>
      <c r="MB83" s="28"/>
      <c r="MC83" s="28"/>
      <c r="MD83" s="28"/>
      <c r="ME83" s="28"/>
      <c r="MF83" s="28"/>
      <c r="MG83" s="28"/>
      <c r="MH83" s="28"/>
      <c r="MI83" s="28"/>
      <c r="MJ83" s="28"/>
      <c r="MK83" s="28"/>
      <c r="ML83" s="28"/>
      <c r="MM83" s="28"/>
      <c r="MN83" s="28"/>
      <c r="MO83" s="28"/>
      <c r="MP83" s="28"/>
      <c r="MQ83" s="28"/>
      <c r="MR83" s="28"/>
      <c r="MS83" s="28"/>
      <c r="MT83" s="28"/>
      <c r="MU83" s="28"/>
      <c r="MV83" s="28"/>
      <c r="MW83" s="28"/>
      <c r="MX83" s="28"/>
      <c r="MY83" s="28"/>
      <c r="MZ83" s="28"/>
      <c r="NA83" s="28"/>
      <c r="NB83" s="28"/>
      <c r="NC83" s="28"/>
      <c r="ND83" s="28"/>
      <c r="NE83" s="28"/>
      <c r="NF83" s="28"/>
      <c r="NG83" s="28"/>
      <c r="NH83" s="28"/>
      <c r="NI83" s="28"/>
      <c r="NJ83" s="28"/>
      <c r="NK83" s="28"/>
      <c r="NL83" s="28"/>
      <c r="NM83" s="28"/>
      <c r="NN83" s="28"/>
      <c r="NO83" s="28"/>
      <c r="NP83" s="28"/>
      <c r="NQ83" s="28"/>
      <c r="NR83" s="28"/>
      <c r="NS83" s="28"/>
      <c r="NT83" s="28"/>
      <c r="NU83" s="28"/>
      <c r="NV83" s="28"/>
      <c r="NW83" s="28"/>
      <c r="NX83" s="28"/>
      <c r="NY83" s="28"/>
      <c r="NZ83" s="28"/>
      <c r="OA83" s="28"/>
      <c r="OB83" s="28"/>
      <c r="OC83" s="28"/>
      <c r="OD83" s="28"/>
      <c r="OE83" s="28"/>
    </row>
    <row r="84" spans="1:395" s="98" customFormat="1" ht="15" customHeight="1" x14ac:dyDescent="0.25">
      <c r="A84" s="135"/>
      <c r="B84" s="320" t="s">
        <v>57</v>
      </c>
      <c r="C84" s="322" t="s">
        <v>58</v>
      </c>
      <c r="D84" s="321" t="s">
        <v>952</v>
      </c>
      <c r="E84" s="300">
        <v>0</v>
      </c>
      <c r="F84" s="301">
        <f>IF($D$8="A VISTA",Planilha2!B68,Planilha2!B68)</f>
        <v>37.9</v>
      </c>
      <c r="G84" s="302">
        <v>0</v>
      </c>
      <c r="H84" s="301">
        <f>IFERROR(F84*(1+G84),#REF!)</f>
        <v>37.9</v>
      </c>
      <c r="I84" s="167">
        <f t="shared" si="14"/>
        <v>0</v>
      </c>
      <c r="J84" s="303">
        <f>SUM(E84*H84)</f>
        <v>0</v>
      </c>
      <c r="K84" s="178">
        <f>Planilha2!C68</f>
        <v>36.004999999999995</v>
      </c>
      <c r="L84" s="179">
        <f>K84*G84+K84</f>
        <v>36.004999999999995</v>
      </c>
      <c r="M84" s="178">
        <f>K84*E84</f>
        <v>0</v>
      </c>
      <c r="N84" s="178">
        <f>L84*E84</f>
        <v>0</v>
      </c>
      <c r="O84" s="140"/>
      <c r="P84" s="178">
        <f>H84</f>
        <v>37.9</v>
      </c>
      <c r="Q84" s="178">
        <f>L84</f>
        <v>36.004999999999995</v>
      </c>
      <c r="R84" s="188">
        <f>PROMO!C61</f>
        <v>37.9</v>
      </c>
      <c r="S84" s="188">
        <f>R84+R84*G84</f>
        <v>37.9</v>
      </c>
      <c r="T84" s="188">
        <f>E84*S84</f>
        <v>0</v>
      </c>
      <c r="U84" s="199">
        <f t="shared" si="96"/>
        <v>1.895</v>
      </c>
      <c r="V84" s="188">
        <f t="shared" si="97"/>
        <v>36.004999999999995</v>
      </c>
      <c r="W84" s="199">
        <f t="shared" si="62"/>
        <v>1.895</v>
      </c>
      <c r="X84" s="188">
        <f>S84-W84</f>
        <v>36.004999999999995</v>
      </c>
      <c r="Y84" s="199">
        <f>X84*E84</f>
        <v>0</v>
      </c>
      <c r="Z84" s="182">
        <f>S84*E84</f>
        <v>0</v>
      </c>
      <c r="AA84" s="182">
        <f>Z84*5%</f>
        <v>0</v>
      </c>
      <c r="AB84" s="182">
        <f>S84*E84</f>
        <v>0</v>
      </c>
      <c r="AC84" s="178">
        <f>X84*E84</f>
        <v>0</v>
      </c>
      <c r="AD84" s="197">
        <f t="shared" si="22"/>
        <v>36.004999999999995</v>
      </c>
      <c r="AE84" s="133"/>
      <c r="AF84" s="133"/>
      <c r="AG84" s="133"/>
      <c r="AH84" s="133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  <c r="GF84" s="28"/>
      <c r="GG84" s="28"/>
      <c r="GH84" s="28"/>
      <c r="GI84" s="28"/>
      <c r="GJ84" s="28"/>
      <c r="GK84" s="28"/>
      <c r="GL84" s="28"/>
      <c r="GM84" s="28"/>
      <c r="GN84" s="28"/>
      <c r="GO84" s="28"/>
      <c r="GP84" s="28"/>
      <c r="GQ84" s="28"/>
      <c r="GR84" s="28"/>
      <c r="GS84" s="28"/>
      <c r="GT84" s="28"/>
      <c r="GU84" s="28"/>
      <c r="GV84" s="28"/>
      <c r="GW84" s="28"/>
      <c r="GX84" s="28"/>
      <c r="GY84" s="28"/>
      <c r="GZ84" s="28"/>
      <c r="HA84" s="28"/>
      <c r="HB84" s="28"/>
      <c r="HC84" s="28"/>
      <c r="HD84" s="28"/>
      <c r="HE84" s="28"/>
      <c r="HF84" s="28"/>
      <c r="HG84" s="28"/>
      <c r="HH84" s="28"/>
      <c r="HI84" s="28"/>
      <c r="HJ84" s="28"/>
      <c r="HK84" s="28"/>
      <c r="HL84" s="28"/>
      <c r="HM84" s="28"/>
      <c r="HN84" s="28"/>
      <c r="HO84" s="28"/>
      <c r="HP84" s="28"/>
      <c r="HQ84" s="28"/>
      <c r="HR84" s="28"/>
      <c r="HS84" s="28"/>
      <c r="HT84" s="28"/>
      <c r="HU84" s="28"/>
      <c r="HV84" s="28"/>
      <c r="HW84" s="28"/>
      <c r="HX84" s="28"/>
      <c r="HY84" s="28"/>
      <c r="HZ84" s="28"/>
      <c r="IA84" s="28"/>
      <c r="IB84" s="28"/>
      <c r="IC84" s="28"/>
      <c r="ID84" s="28"/>
      <c r="IE84" s="28"/>
      <c r="IF84" s="28"/>
      <c r="IG84" s="28"/>
      <c r="IH84" s="28"/>
      <c r="II84" s="28"/>
      <c r="IJ84" s="28"/>
      <c r="IK84" s="28"/>
      <c r="IL84" s="28"/>
      <c r="IM84" s="28"/>
      <c r="IN84" s="28"/>
      <c r="IO84" s="28"/>
      <c r="IP84" s="28"/>
      <c r="IQ84" s="28"/>
      <c r="IR84" s="28"/>
      <c r="IS84" s="28"/>
      <c r="IT84" s="28"/>
      <c r="IU84" s="28"/>
      <c r="IV84" s="28"/>
      <c r="IW84" s="28"/>
      <c r="IX84" s="28"/>
      <c r="IY84" s="28"/>
      <c r="IZ84" s="28"/>
      <c r="JA84" s="28"/>
      <c r="JB84" s="28"/>
      <c r="JC84" s="28"/>
      <c r="JD84" s="28"/>
      <c r="JE84" s="28"/>
      <c r="JF84" s="28"/>
      <c r="JG84" s="28"/>
      <c r="JH84" s="28"/>
      <c r="JI84" s="28"/>
      <c r="JJ84" s="28"/>
      <c r="JK84" s="28"/>
      <c r="JL84" s="28"/>
      <c r="JM84" s="28"/>
      <c r="JN84" s="28"/>
      <c r="JO84" s="28"/>
      <c r="JP84" s="28"/>
      <c r="JQ84" s="28"/>
      <c r="JR84" s="28"/>
      <c r="JS84" s="28"/>
      <c r="JT84" s="28"/>
      <c r="JU84" s="28"/>
      <c r="JV84" s="28"/>
      <c r="JW84" s="28"/>
      <c r="JX84" s="28"/>
      <c r="JY84" s="28"/>
      <c r="JZ84" s="28"/>
      <c r="KA84" s="28"/>
      <c r="KB84" s="28"/>
      <c r="KC84" s="28"/>
      <c r="KD84" s="28"/>
      <c r="KE84" s="28"/>
      <c r="KF84" s="28"/>
      <c r="KG84" s="28"/>
      <c r="KH84" s="28"/>
      <c r="KI84" s="28"/>
      <c r="KJ84" s="28"/>
      <c r="KK84" s="28"/>
      <c r="KL84" s="28"/>
      <c r="KM84" s="28"/>
      <c r="KN84" s="28"/>
      <c r="KO84" s="28"/>
      <c r="KP84" s="28"/>
      <c r="KQ84" s="28"/>
      <c r="KR84" s="28"/>
      <c r="KS84" s="28"/>
      <c r="KT84" s="28"/>
      <c r="KU84" s="28"/>
      <c r="KV84" s="28"/>
      <c r="KW84" s="28"/>
      <c r="KX84" s="28"/>
      <c r="KY84" s="28"/>
      <c r="KZ84" s="28"/>
      <c r="LA84" s="28"/>
      <c r="LB84" s="28"/>
      <c r="LC84" s="28"/>
      <c r="LD84" s="28"/>
      <c r="LE84" s="28"/>
      <c r="LF84" s="28"/>
      <c r="LG84" s="28"/>
      <c r="LH84" s="28"/>
      <c r="LI84" s="28"/>
      <c r="LJ84" s="28"/>
      <c r="LK84" s="28"/>
      <c r="LL84" s="28"/>
      <c r="LM84" s="28"/>
      <c r="LN84" s="28"/>
      <c r="LO84" s="28"/>
      <c r="LP84" s="28"/>
      <c r="LQ84" s="28"/>
      <c r="LR84" s="28"/>
      <c r="LS84" s="28"/>
      <c r="LT84" s="28"/>
      <c r="LU84" s="28"/>
      <c r="LV84" s="28"/>
      <c r="LW84" s="28"/>
      <c r="LX84" s="28"/>
      <c r="LY84" s="28"/>
      <c r="LZ84" s="28"/>
      <c r="MA84" s="28"/>
      <c r="MB84" s="28"/>
      <c r="MC84" s="28"/>
      <c r="MD84" s="28"/>
      <c r="ME84" s="28"/>
      <c r="MF84" s="28"/>
      <c r="MG84" s="28"/>
      <c r="MH84" s="28"/>
      <c r="MI84" s="28"/>
      <c r="MJ84" s="28"/>
      <c r="MK84" s="28"/>
      <c r="ML84" s="28"/>
      <c r="MM84" s="28"/>
      <c r="MN84" s="28"/>
      <c r="MO84" s="28"/>
      <c r="MP84" s="28"/>
      <c r="MQ84" s="28"/>
      <c r="MR84" s="28"/>
      <c r="MS84" s="28"/>
      <c r="MT84" s="28"/>
      <c r="MU84" s="28"/>
      <c r="MV84" s="28"/>
      <c r="MW84" s="28"/>
      <c r="MX84" s="28"/>
      <c r="MY84" s="28"/>
      <c r="MZ84" s="28"/>
      <c r="NA84" s="28"/>
      <c r="NB84" s="28"/>
      <c r="NC84" s="28"/>
      <c r="ND84" s="28"/>
      <c r="NE84" s="28"/>
      <c r="NF84" s="28"/>
      <c r="NG84" s="28"/>
      <c r="NH84" s="28"/>
      <c r="NI84" s="28"/>
      <c r="NJ84" s="28"/>
      <c r="NK84" s="28"/>
      <c r="NL84" s="28"/>
      <c r="NM84" s="28"/>
      <c r="NN84" s="28"/>
      <c r="NO84" s="28"/>
      <c r="NP84" s="28"/>
      <c r="NQ84" s="28"/>
      <c r="NR84" s="28"/>
      <c r="NS84" s="28"/>
      <c r="NT84" s="28"/>
      <c r="NU84" s="28"/>
      <c r="NV84" s="28"/>
      <c r="NW84" s="28"/>
      <c r="NX84" s="28"/>
      <c r="NY84" s="28"/>
      <c r="NZ84" s="28"/>
      <c r="OA84" s="28"/>
      <c r="OB84" s="28"/>
      <c r="OC84" s="28"/>
      <c r="OD84" s="28"/>
      <c r="OE84" s="28"/>
    </row>
    <row r="85" spans="1:395" s="98" customFormat="1" ht="15" customHeight="1" x14ac:dyDescent="0.25">
      <c r="A85" s="135"/>
      <c r="B85" s="385" t="s">
        <v>1251</v>
      </c>
      <c r="C85" s="411">
        <v>7898670767223</v>
      </c>
      <c r="D85" s="385" t="s">
        <v>1261</v>
      </c>
      <c r="E85" s="402">
        <v>0</v>
      </c>
      <c r="F85" s="403">
        <f>IF($D$8="A VISTA",Planilha2!B69,Planilha2!B69)</f>
        <v>18</v>
      </c>
      <c r="G85" s="404">
        <v>0</v>
      </c>
      <c r="H85" s="403">
        <f>IFERROR(F85*(1+G85),#REF!)</f>
        <v>18</v>
      </c>
      <c r="I85" s="403">
        <f t="shared" ref="I85" si="98">F85*E85</f>
        <v>0</v>
      </c>
      <c r="J85" s="405">
        <f>SUM(E85*H85)</f>
        <v>0</v>
      </c>
      <c r="K85" s="292">
        <f>Planilha2!C69</f>
        <v>17.100000000000001</v>
      </c>
      <c r="L85" s="293">
        <f>K85*G85+K85</f>
        <v>17.100000000000001</v>
      </c>
      <c r="M85" s="292">
        <f>K85*E85</f>
        <v>0</v>
      </c>
      <c r="N85" s="292">
        <f>L85*E85</f>
        <v>0</v>
      </c>
      <c r="O85" s="140"/>
      <c r="P85" s="178"/>
      <c r="Q85" s="178"/>
      <c r="R85" s="294">
        <f>F85</f>
        <v>18</v>
      </c>
      <c r="S85" s="294">
        <f>H85</f>
        <v>18</v>
      </c>
      <c r="T85" s="294">
        <f>J85</f>
        <v>0</v>
      </c>
      <c r="U85" s="294">
        <f t="shared" si="96"/>
        <v>0.9</v>
      </c>
      <c r="V85" s="294">
        <f t="shared" si="97"/>
        <v>17.100000000000001</v>
      </c>
      <c r="W85" s="294">
        <f t="shared" ref="W85" si="99">S85*5%</f>
        <v>0.9</v>
      </c>
      <c r="X85" s="294">
        <f>L85</f>
        <v>17.100000000000001</v>
      </c>
      <c r="Y85" s="294">
        <f>X85*E85</f>
        <v>0</v>
      </c>
      <c r="Z85" s="292">
        <v>0</v>
      </c>
      <c r="AA85" s="292">
        <f>R85*J85</f>
        <v>0</v>
      </c>
      <c r="AB85" s="292">
        <f>S85*E85</f>
        <v>0</v>
      </c>
      <c r="AC85" s="292">
        <f>X85*E85</f>
        <v>0</v>
      </c>
      <c r="AD85" s="197"/>
      <c r="AE85" s="133"/>
      <c r="AF85" s="133"/>
      <c r="AG85" s="133"/>
      <c r="AH85" s="133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  <c r="FS85" s="28"/>
      <c r="FT85" s="28"/>
      <c r="FU85" s="28"/>
      <c r="FV85" s="28"/>
      <c r="FW85" s="28"/>
      <c r="FX85" s="28"/>
      <c r="FY85" s="28"/>
      <c r="FZ85" s="28"/>
      <c r="GA85" s="28"/>
      <c r="GB85" s="28"/>
      <c r="GC85" s="28"/>
      <c r="GD85" s="28"/>
      <c r="GE85" s="28"/>
      <c r="GF85" s="28"/>
      <c r="GG85" s="28"/>
      <c r="GH85" s="28"/>
      <c r="GI85" s="28"/>
      <c r="GJ85" s="28"/>
      <c r="GK85" s="28"/>
      <c r="GL85" s="28"/>
      <c r="GM85" s="28"/>
      <c r="GN85" s="28"/>
      <c r="GO85" s="28"/>
      <c r="GP85" s="28"/>
      <c r="GQ85" s="28"/>
      <c r="GR85" s="28"/>
      <c r="GS85" s="28"/>
      <c r="GT85" s="28"/>
      <c r="GU85" s="28"/>
      <c r="GV85" s="28"/>
      <c r="GW85" s="28"/>
      <c r="GX85" s="28"/>
      <c r="GY85" s="28"/>
      <c r="GZ85" s="28"/>
      <c r="HA85" s="28"/>
      <c r="HB85" s="28"/>
      <c r="HC85" s="28"/>
      <c r="HD85" s="28"/>
      <c r="HE85" s="28"/>
      <c r="HF85" s="28"/>
      <c r="HG85" s="28"/>
      <c r="HH85" s="28"/>
      <c r="HI85" s="28"/>
      <c r="HJ85" s="28"/>
      <c r="HK85" s="28"/>
      <c r="HL85" s="28"/>
      <c r="HM85" s="28"/>
      <c r="HN85" s="28"/>
      <c r="HO85" s="28"/>
      <c r="HP85" s="28"/>
      <c r="HQ85" s="28"/>
      <c r="HR85" s="28"/>
      <c r="HS85" s="28"/>
      <c r="HT85" s="28"/>
      <c r="HU85" s="28"/>
      <c r="HV85" s="28"/>
      <c r="HW85" s="28"/>
      <c r="HX85" s="28"/>
      <c r="HY85" s="28"/>
      <c r="HZ85" s="28"/>
      <c r="IA85" s="28"/>
      <c r="IB85" s="28"/>
      <c r="IC85" s="28"/>
      <c r="ID85" s="28"/>
      <c r="IE85" s="28"/>
      <c r="IF85" s="28"/>
      <c r="IG85" s="28"/>
      <c r="IH85" s="28"/>
      <c r="II85" s="28"/>
      <c r="IJ85" s="28"/>
      <c r="IK85" s="28"/>
      <c r="IL85" s="28"/>
      <c r="IM85" s="28"/>
      <c r="IN85" s="28"/>
      <c r="IO85" s="28"/>
      <c r="IP85" s="28"/>
      <c r="IQ85" s="28"/>
      <c r="IR85" s="28"/>
      <c r="IS85" s="28"/>
      <c r="IT85" s="28"/>
      <c r="IU85" s="28"/>
      <c r="IV85" s="28"/>
      <c r="IW85" s="28"/>
      <c r="IX85" s="28"/>
      <c r="IY85" s="28"/>
      <c r="IZ85" s="28"/>
      <c r="JA85" s="28"/>
      <c r="JB85" s="28"/>
      <c r="JC85" s="28"/>
      <c r="JD85" s="28"/>
      <c r="JE85" s="28"/>
      <c r="JF85" s="28"/>
      <c r="JG85" s="28"/>
      <c r="JH85" s="28"/>
      <c r="JI85" s="28"/>
      <c r="JJ85" s="28"/>
      <c r="JK85" s="28"/>
      <c r="JL85" s="28"/>
      <c r="JM85" s="28"/>
      <c r="JN85" s="28"/>
      <c r="JO85" s="28"/>
      <c r="JP85" s="28"/>
      <c r="JQ85" s="28"/>
      <c r="JR85" s="28"/>
      <c r="JS85" s="28"/>
      <c r="JT85" s="28"/>
      <c r="JU85" s="28"/>
      <c r="JV85" s="28"/>
      <c r="JW85" s="28"/>
      <c r="JX85" s="28"/>
      <c r="JY85" s="28"/>
      <c r="JZ85" s="28"/>
      <c r="KA85" s="28"/>
      <c r="KB85" s="28"/>
      <c r="KC85" s="28"/>
      <c r="KD85" s="28"/>
      <c r="KE85" s="28"/>
      <c r="KF85" s="28"/>
      <c r="KG85" s="28"/>
      <c r="KH85" s="28"/>
      <c r="KI85" s="28"/>
      <c r="KJ85" s="28"/>
      <c r="KK85" s="28"/>
      <c r="KL85" s="28"/>
      <c r="KM85" s="28"/>
      <c r="KN85" s="28"/>
      <c r="KO85" s="28"/>
      <c r="KP85" s="28"/>
      <c r="KQ85" s="28"/>
      <c r="KR85" s="28"/>
      <c r="KS85" s="28"/>
      <c r="KT85" s="28"/>
      <c r="KU85" s="28"/>
      <c r="KV85" s="28"/>
      <c r="KW85" s="28"/>
      <c r="KX85" s="28"/>
      <c r="KY85" s="28"/>
      <c r="KZ85" s="28"/>
      <c r="LA85" s="28"/>
      <c r="LB85" s="28"/>
      <c r="LC85" s="28"/>
      <c r="LD85" s="28"/>
      <c r="LE85" s="28"/>
      <c r="LF85" s="28"/>
      <c r="LG85" s="28"/>
      <c r="LH85" s="28"/>
      <c r="LI85" s="28"/>
      <c r="LJ85" s="28"/>
      <c r="LK85" s="28"/>
      <c r="LL85" s="28"/>
      <c r="LM85" s="28"/>
      <c r="LN85" s="28"/>
      <c r="LO85" s="28"/>
      <c r="LP85" s="28"/>
      <c r="LQ85" s="28"/>
      <c r="LR85" s="28"/>
      <c r="LS85" s="28"/>
      <c r="LT85" s="28"/>
      <c r="LU85" s="28"/>
      <c r="LV85" s="28"/>
      <c r="LW85" s="28"/>
      <c r="LX85" s="28"/>
      <c r="LY85" s="28"/>
      <c r="LZ85" s="28"/>
      <c r="MA85" s="28"/>
      <c r="MB85" s="28"/>
      <c r="MC85" s="28"/>
      <c r="MD85" s="28"/>
      <c r="ME85" s="28"/>
      <c r="MF85" s="28"/>
      <c r="MG85" s="28"/>
      <c r="MH85" s="28"/>
      <c r="MI85" s="28"/>
      <c r="MJ85" s="28"/>
      <c r="MK85" s="28"/>
      <c r="ML85" s="28"/>
      <c r="MM85" s="28"/>
      <c r="MN85" s="28"/>
      <c r="MO85" s="28"/>
      <c r="MP85" s="28"/>
      <c r="MQ85" s="28"/>
      <c r="MR85" s="28"/>
      <c r="MS85" s="28"/>
      <c r="MT85" s="28"/>
      <c r="MU85" s="28"/>
      <c r="MV85" s="28"/>
      <c r="MW85" s="28"/>
      <c r="MX85" s="28"/>
      <c r="MY85" s="28"/>
      <c r="MZ85" s="28"/>
      <c r="NA85" s="28"/>
      <c r="NB85" s="28"/>
      <c r="NC85" s="28"/>
      <c r="ND85" s="28"/>
      <c r="NE85" s="28"/>
      <c r="NF85" s="28"/>
      <c r="NG85" s="28"/>
      <c r="NH85" s="28"/>
      <c r="NI85" s="28"/>
      <c r="NJ85" s="28"/>
      <c r="NK85" s="28"/>
      <c r="NL85" s="28"/>
      <c r="NM85" s="28"/>
      <c r="NN85" s="28"/>
      <c r="NO85" s="28"/>
      <c r="NP85" s="28"/>
      <c r="NQ85" s="28"/>
      <c r="NR85" s="28"/>
      <c r="NS85" s="28"/>
      <c r="NT85" s="28"/>
      <c r="NU85" s="28"/>
      <c r="NV85" s="28"/>
      <c r="NW85" s="28"/>
      <c r="NX85" s="28"/>
      <c r="NY85" s="28"/>
      <c r="NZ85" s="28"/>
      <c r="OA85" s="28"/>
      <c r="OB85" s="28"/>
      <c r="OC85" s="28"/>
      <c r="OD85" s="28"/>
      <c r="OE85" s="28"/>
    </row>
    <row r="86" spans="1:395" ht="15" customHeight="1" x14ac:dyDescent="0.25">
      <c r="A86" s="135"/>
      <c r="B86" s="157" t="s">
        <v>12</v>
      </c>
      <c r="C86" s="158" t="s">
        <v>13</v>
      </c>
      <c r="D86" s="160" t="s">
        <v>60</v>
      </c>
      <c r="E86" s="160" t="s">
        <v>15</v>
      </c>
      <c r="F86" s="161" t="s">
        <v>607</v>
      </c>
      <c r="G86" s="162" t="s">
        <v>500</v>
      </c>
      <c r="H86" s="161" t="s">
        <v>609</v>
      </c>
      <c r="I86" s="161" t="s">
        <v>615</v>
      </c>
      <c r="J86" s="161" t="s">
        <v>16</v>
      </c>
      <c r="K86" s="161" t="s">
        <v>606</v>
      </c>
      <c r="L86" s="162" t="s">
        <v>908</v>
      </c>
      <c r="M86" s="161" t="s">
        <v>615</v>
      </c>
      <c r="N86" s="161" t="s">
        <v>16</v>
      </c>
      <c r="O86" s="140"/>
      <c r="P86" s="161" t="s">
        <v>853</v>
      </c>
      <c r="Q86" s="161" t="s">
        <v>606</v>
      </c>
      <c r="R86" s="162" t="s">
        <v>910</v>
      </c>
      <c r="S86" s="162" t="s">
        <v>891</v>
      </c>
      <c r="T86" s="162" t="s">
        <v>892</v>
      </c>
      <c r="U86" s="163" t="s">
        <v>894</v>
      </c>
      <c r="V86" s="162" t="s">
        <v>870</v>
      </c>
      <c r="W86" s="163" t="s">
        <v>895</v>
      </c>
      <c r="X86" s="162" t="s">
        <v>893</v>
      </c>
      <c r="Y86" s="161" t="s">
        <v>596</v>
      </c>
      <c r="Z86" s="161" t="s">
        <v>861</v>
      </c>
      <c r="AA86" s="161" t="s">
        <v>860</v>
      </c>
      <c r="AB86" s="161" t="s">
        <v>859</v>
      </c>
      <c r="AC86" s="161" t="s">
        <v>858</v>
      </c>
      <c r="AD86" s="161" t="s">
        <v>874</v>
      </c>
      <c r="AE86" s="133"/>
      <c r="AF86" s="133"/>
      <c r="AG86" s="133"/>
      <c r="AH86" s="133"/>
    </row>
    <row r="87" spans="1:395" ht="15" customHeight="1" x14ac:dyDescent="0.25">
      <c r="A87" s="135"/>
      <c r="B87" s="183" t="s">
        <v>61</v>
      </c>
      <c r="C87" s="198" t="s">
        <v>62</v>
      </c>
      <c r="D87" s="194" t="s">
        <v>953</v>
      </c>
      <c r="E87" s="166">
        <v>0</v>
      </c>
      <c r="F87" s="167">
        <f>IF($D$8="A VISTA",Planilha2!B71,Planilha2!B71)</f>
        <v>53.9</v>
      </c>
      <c r="G87" s="168">
        <v>0</v>
      </c>
      <c r="H87" s="167">
        <f>IFERROR(F87*(1+G87),#REF!)</f>
        <v>53.9</v>
      </c>
      <c r="I87" s="167">
        <f t="shared" si="14"/>
        <v>0</v>
      </c>
      <c r="J87" s="169">
        <f t="shared" ref="J87:J98" si="100">SUM(E87*H87)</f>
        <v>0</v>
      </c>
      <c r="K87" s="170">
        <f>Planilha2!C71</f>
        <v>51.204999999999998</v>
      </c>
      <c r="L87" s="171">
        <f t="shared" ref="L87:L99" si="101">K87*G87+K87</f>
        <v>51.204999999999998</v>
      </c>
      <c r="M87" s="170">
        <f t="shared" ref="M87:M99" si="102">K87*E87</f>
        <v>0</v>
      </c>
      <c r="N87" s="170">
        <f t="shared" ref="N87:N99" si="103">L87*E87</f>
        <v>0</v>
      </c>
      <c r="O87" s="140"/>
      <c r="P87" s="170">
        <f t="shared" ref="P87:P99" si="104">H87</f>
        <v>53.9</v>
      </c>
      <c r="Q87" s="170">
        <f t="shared" ref="Q87:Q99" si="105">L87</f>
        <v>51.204999999999998</v>
      </c>
      <c r="R87" s="172">
        <f>F87</f>
        <v>53.9</v>
      </c>
      <c r="S87" s="172">
        <f>H87</f>
        <v>53.9</v>
      </c>
      <c r="T87" s="172">
        <f>J87</f>
        <v>0</v>
      </c>
      <c r="U87" s="172">
        <f t="shared" ref="U87:U99" si="106">R87*5%</f>
        <v>2.6950000000000003</v>
      </c>
      <c r="V87" s="172">
        <f t="shared" ref="V87:V99" si="107">R87-U87</f>
        <v>51.204999999999998</v>
      </c>
      <c r="W87" s="172">
        <f t="shared" ref="W87:W99" si="108">S87*5%</f>
        <v>2.6950000000000003</v>
      </c>
      <c r="X87" s="172">
        <f>L87</f>
        <v>51.204999999999998</v>
      </c>
      <c r="Y87" s="170">
        <f t="shared" ref="Y87:Y99" si="109">X87*E87</f>
        <v>0</v>
      </c>
      <c r="Z87" s="170">
        <v>0</v>
      </c>
      <c r="AA87" s="170">
        <v>0</v>
      </c>
      <c r="AB87" s="170">
        <f t="shared" ref="AB87:AB99" si="110">S87*E87</f>
        <v>0</v>
      </c>
      <c r="AC87" s="170">
        <f t="shared" ref="AC87:AC99" si="111">X87*E87</f>
        <v>0</v>
      </c>
      <c r="AD87" s="173">
        <f t="shared" ref="AD87:AD151" si="112">X87-AB87</f>
        <v>51.204999999999998</v>
      </c>
      <c r="AE87" s="133"/>
      <c r="AF87" s="133"/>
      <c r="AG87" s="133"/>
      <c r="AH87" s="133"/>
    </row>
    <row r="88" spans="1:395" ht="15" customHeight="1" x14ac:dyDescent="0.25">
      <c r="A88" s="135"/>
      <c r="B88" s="183" t="s">
        <v>64</v>
      </c>
      <c r="C88" s="198" t="s">
        <v>65</v>
      </c>
      <c r="D88" s="194" t="s">
        <v>954</v>
      </c>
      <c r="E88" s="166">
        <v>0</v>
      </c>
      <c r="F88" s="167">
        <f>IF($D$8="A VISTA",Planilha2!B72,Planilha2!B72)</f>
        <v>47.9</v>
      </c>
      <c r="G88" s="168">
        <v>0</v>
      </c>
      <c r="H88" s="167">
        <f>IFERROR(F88*(1+G88),#REF!)</f>
        <v>47.9</v>
      </c>
      <c r="I88" s="167">
        <f t="shared" ref="I88:I98" si="113">F88*E88</f>
        <v>0</v>
      </c>
      <c r="J88" s="169">
        <f t="shared" si="100"/>
        <v>0</v>
      </c>
      <c r="K88" s="176">
        <f>Planilha2!C72</f>
        <v>45.504999999999995</v>
      </c>
      <c r="L88" s="171">
        <f t="shared" si="101"/>
        <v>45.504999999999995</v>
      </c>
      <c r="M88" s="176">
        <f t="shared" si="102"/>
        <v>0</v>
      </c>
      <c r="N88" s="176">
        <f t="shared" si="103"/>
        <v>0</v>
      </c>
      <c r="O88" s="140"/>
      <c r="P88" s="176">
        <f t="shared" si="104"/>
        <v>47.9</v>
      </c>
      <c r="Q88" s="176">
        <f t="shared" si="105"/>
        <v>45.504999999999995</v>
      </c>
      <c r="R88" s="172">
        <f>F88</f>
        <v>47.9</v>
      </c>
      <c r="S88" s="172">
        <f>R88+R88*G88</f>
        <v>47.9</v>
      </c>
      <c r="T88" s="172">
        <f>E88*S88</f>
        <v>0</v>
      </c>
      <c r="U88" s="172">
        <f t="shared" si="106"/>
        <v>2.395</v>
      </c>
      <c r="V88" s="172">
        <f t="shared" si="107"/>
        <v>45.504999999999995</v>
      </c>
      <c r="W88" s="172">
        <f t="shared" si="108"/>
        <v>2.395</v>
      </c>
      <c r="X88" s="172">
        <f>S88-W88</f>
        <v>45.504999999999995</v>
      </c>
      <c r="Y88" s="176">
        <f t="shared" si="109"/>
        <v>0</v>
      </c>
      <c r="Z88" s="170">
        <v>0</v>
      </c>
      <c r="AA88" s="170">
        <v>0</v>
      </c>
      <c r="AB88" s="170">
        <f t="shared" si="110"/>
        <v>0</v>
      </c>
      <c r="AC88" s="170">
        <f t="shared" si="111"/>
        <v>0</v>
      </c>
      <c r="AD88" s="173">
        <f t="shared" si="112"/>
        <v>45.504999999999995</v>
      </c>
      <c r="AE88" s="133"/>
      <c r="AF88" s="133"/>
      <c r="AG88" s="133"/>
      <c r="AH88" s="133"/>
    </row>
    <row r="89" spans="1:395" s="98" customFormat="1" ht="15" customHeight="1" x14ac:dyDescent="0.25">
      <c r="A89" s="135"/>
      <c r="B89" s="183" t="s">
        <v>67</v>
      </c>
      <c r="C89" s="198" t="s">
        <v>68</v>
      </c>
      <c r="D89" s="194" t="s">
        <v>955</v>
      </c>
      <c r="E89" s="166">
        <v>0</v>
      </c>
      <c r="F89" s="167">
        <f>IF($D$8="A VISTA",Planilha2!B73,Planilha2!B73)</f>
        <v>47.9</v>
      </c>
      <c r="G89" s="168">
        <v>0</v>
      </c>
      <c r="H89" s="167">
        <f>IFERROR(F89*(1+G89),#REF!)</f>
        <v>47.9</v>
      </c>
      <c r="I89" s="167">
        <f t="shared" si="113"/>
        <v>0</v>
      </c>
      <c r="J89" s="169">
        <f t="shared" si="100"/>
        <v>0</v>
      </c>
      <c r="K89" s="176">
        <f>Planilha2!C73</f>
        <v>45.504999999999995</v>
      </c>
      <c r="L89" s="171">
        <f t="shared" si="101"/>
        <v>45.504999999999995</v>
      </c>
      <c r="M89" s="176">
        <f t="shared" si="102"/>
        <v>0</v>
      </c>
      <c r="N89" s="176">
        <f t="shared" si="103"/>
        <v>0</v>
      </c>
      <c r="O89" s="140"/>
      <c r="P89" s="176">
        <f t="shared" si="104"/>
        <v>47.9</v>
      </c>
      <c r="Q89" s="176">
        <f t="shared" si="105"/>
        <v>45.504999999999995</v>
      </c>
      <c r="R89" s="172">
        <f>F89</f>
        <v>47.9</v>
      </c>
      <c r="S89" s="172">
        <f>R89+R89*G89</f>
        <v>47.9</v>
      </c>
      <c r="T89" s="172">
        <f>E89*S89</f>
        <v>0</v>
      </c>
      <c r="U89" s="172">
        <f t="shared" si="106"/>
        <v>2.395</v>
      </c>
      <c r="V89" s="172">
        <f t="shared" si="107"/>
        <v>45.504999999999995</v>
      </c>
      <c r="W89" s="172">
        <f t="shared" si="108"/>
        <v>2.395</v>
      </c>
      <c r="X89" s="172">
        <f>S89-W89</f>
        <v>45.504999999999995</v>
      </c>
      <c r="Y89" s="176">
        <f t="shared" si="109"/>
        <v>0</v>
      </c>
      <c r="Z89" s="182">
        <f>S89*E89</f>
        <v>0</v>
      </c>
      <c r="AA89" s="182">
        <f>Z89*5%</f>
        <v>0</v>
      </c>
      <c r="AB89" s="182">
        <f t="shared" si="110"/>
        <v>0</v>
      </c>
      <c r="AC89" s="182">
        <f t="shared" si="111"/>
        <v>0</v>
      </c>
      <c r="AD89" s="173">
        <f t="shared" si="112"/>
        <v>45.504999999999995</v>
      </c>
      <c r="AE89" s="133"/>
      <c r="AF89" s="133"/>
      <c r="AG89" s="133"/>
      <c r="AH89" s="133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  <c r="GF89" s="28"/>
      <c r="GG89" s="28"/>
      <c r="GH89" s="28"/>
      <c r="GI89" s="28"/>
      <c r="GJ89" s="28"/>
      <c r="GK89" s="28"/>
      <c r="GL89" s="28"/>
      <c r="GM89" s="28"/>
      <c r="GN89" s="28"/>
      <c r="GO89" s="28"/>
      <c r="GP89" s="28"/>
      <c r="GQ89" s="28"/>
      <c r="GR89" s="28"/>
      <c r="GS89" s="28"/>
      <c r="GT89" s="28"/>
      <c r="GU89" s="28"/>
      <c r="GV89" s="28"/>
      <c r="GW89" s="28"/>
      <c r="GX89" s="28"/>
      <c r="GY89" s="28"/>
      <c r="GZ89" s="28"/>
      <c r="HA89" s="28"/>
      <c r="HB89" s="28"/>
      <c r="HC89" s="28"/>
      <c r="HD89" s="28"/>
      <c r="HE89" s="28"/>
      <c r="HF89" s="28"/>
      <c r="HG89" s="28"/>
      <c r="HH89" s="28"/>
      <c r="HI89" s="28"/>
      <c r="HJ89" s="28"/>
      <c r="HK89" s="28"/>
      <c r="HL89" s="28"/>
      <c r="HM89" s="28"/>
      <c r="HN89" s="28"/>
      <c r="HO89" s="28"/>
      <c r="HP89" s="28"/>
      <c r="HQ89" s="28"/>
      <c r="HR89" s="28"/>
      <c r="HS89" s="28"/>
      <c r="HT89" s="28"/>
      <c r="HU89" s="28"/>
      <c r="HV89" s="28"/>
      <c r="HW89" s="28"/>
      <c r="HX89" s="28"/>
      <c r="HY89" s="28"/>
      <c r="HZ89" s="28"/>
      <c r="IA89" s="28"/>
      <c r="IB89" s="28"/>
      <c r="IC89" s="28"/>
      <c r="ID89" s="28"/>
      <c r="IE89" s="28"/>
      <c r="IF89" s="28"/>
      <c r="IG89" s="28"/>
      <c r="IH89" s="28"/>
      <c r="II89" s="28"/>
      <c r="IJ89" s="28"/>
      <c r="IK89" s="28"/>
      <c r="IL89" s="28"/>
      <c r="IM89" s="28"/>
      <c r="IN89" s="28"/>
      <c r="IO89" s="28"/>
      <c r="IP89" s="28"/>
      <c r="IQ89" s="28"/>
      <c r="IR89" s="28"/>
      <c r="IS89" s="28"/>
      <c r="IT89" s="28"/>
      <c r="IU89" s="28"/>
      <c r="IV89" s="28"/>
      <c r="IW89" s="28"/>
      <c r="IX89" s="28"/>
      <c r="IY89" s="28"/>
      <c r="IZ89" s="28"/>
      <c r="JA89" s="28"/>
      <c r="JB89" s="28"/>
      <c r="JC89" s="28"/>
      <c r="JD89" s="28"/>
      <c r="JE89" s="28"/>
      <c r="JF89" s="28"/>
      <c r="JG89" s="28"/>
      <c r="JH89" s="28"/>
      <c r="JI89" s="28"/>
      <c r="JJ89" s="28"/>
      <c r="JK89" s="28"/>
      <c r="JL89" s="28"/>
      <c r="JM89" s="28"/>
      <c r="JN89" s="28"/>
      <c r="JO89" s="28"/>
      <c r="JP89" s="28"/>
      <c r="JQ89" s="28"/>
      <c r="JR89" s="28"/>
      <c r="JS89" s="28"/>
      <c r="JT89" s="28"/>
      <c r="JU89" s="28"/>
      <c r="JV89" s="28"/>
      <c r="JW89" s="28"/>
      <c r="JX89" s="28"/>
      <c r="JY89" s="28"/>
      <c r="JZ89" s="28"/>
      <c r="KA89" s="28"/>
      <c r="KB89" s="28"/>
      <c r="KC89" s="28"/>
      <c r="KD89" s="28"/>
      <c r="KE89" s="28"/>
      <c r="KF89" s="28"/>
      <c r="KG89" s="28"/>
      <c r="KH89" s="28"/>
      <c r="KI89" s="28"/>
      <c r="KJ89" s="28"/>
      <c r="KK89" s="28"/>
      <c r="KL89" s="28"/>
      <c r="KM89" s="28"/>
      <c r="KN89" s="28"/>
      <c r="KO89" s="28"/>
      <c r="KP89" s="28"/>
      <c r="KQ89" s="28"/>
      <c r="KR89" s="28"/>
      <c r="KS89" s="28"/>
      <c r="KT89" s="28"/>
      <c r="KU89" s="28"/>
      <c r="KV89" s="28"/>
      <c r="KW89" s="28"/>
      <c r="KX89" s="28"/>
      <c r="KY89" s="28"/>
      <c r="KZ89" s="28"/>
      <c r="LA89" s="28"/>
      <c r="LB89" s="28"/>
      <c r="LC89" s="28"/>
      <c r="LD89" s="28"/>
      <c r="LE89" s="28"/>
      <c r="LF89" s="28"/>
      <c r="LG89" s="28"/>
      <c r="LH89" s="28"/>
      <c r="LI89" s="28"/>
      <c r="LJ89" s="28"/>
      <c r="LK89" s="28"/>
      <c r="LL89" s="28"/>
      <c r="LM89" s="28"/>
      <c r="LN89" s="28"/>
      <c r="LO89" s="28"/>
      <c r="LP89" s="28"/>
      <c r="LQ89" s="28"/>
      <c r="LR89" s="28"/>
      <c r="LS89" s="28"/>
      <c r="LT89" s="28"/>
      <c r="LU89" s="28"/>
      <c r="LV89" s="28"/>
      <c r="LW89" s="28"/>
      <c r="LX89" s="28"/>
      <c r="LY89" s="28"/>
      <c r="LZ89" s="28"/>
      <c r="MA89" s="28"/>
      <c r="MB89" s="28"/>
      <c r="MC89" s="28"/>
      <c r="MD89" s="28"/>
      <c r="ME89" s="28"/>
      <c r="MF89" s="28"/>
      <c r="MG89" s="28"/>
      <c r="MH89" s="28"/>
      <c r="MI89" s="28"/>
      <c r="MJ89" s="28"/>
      <c r="MK89" s="28"/>
      <c r="ML89" s="28"/>
      <c r="MM89" s="28"/>
      <c r="MN89" s="28"/>
      <c r="MO89" s="28"/>
      <c r="MP89" s="28"/>
      <c r="MQ89" s="28"/>
      <c r="MR89" s="28"/>
      <c r="MS89" s="28"/>
      <c r="MT89" s="28"/>
      <c r="MU89" s="28"/>
      <c r="MV89" s="28"/>
      <c r="MW89" s="28"/>
      <c r="MX89" s="28"/>
      <c r="MY89" s="28"/>
      <c r="MZ89" s="28"/>
      <c r="NA89" s="28"/>
      <c r="NB89" s="28"/>
      <c r="NC89" s="28"/>
      <c r="ND89" s="28"/>
      <c r="NE89" s="28"/>
      <c r="NF89" s="28"/>
      <c r="NG89" s="28"/>
      <c r="NH89" s="28"/>
      <c r="NI89" s="28"/>
      <c r="NJ89" s="28"/>
      <c r="NK89" s="28"/>
      <c r="NL89" s="28"/>
      <c r="NM89" s="28"/>
      <c r="NN89" s="28"/>
      <c r="NO89" s="28"/>
      <c r="NP89" s="28"/>
      <c r="NQ89" s="28"/>
      <c r="NR89" s="28"/>
      <c r="NS89" s="28"/>
      <c r="NT89" s="28"/>
      <c r="NU89" s="28"/>
      <c r="NV89" s="28"/>
      <c r="NW89" s="28"/>
      <c r="NX89" s="28"/>
      <c r="NY89" s="28"/>
      <c r="NZ89" s="28"/>
      <c r="OA89" s="28"/>
      <c r="OB89" s="28"/>
      <c r="OC89" s="28"/>
      <c r="OD89" s="28"/>
      <c r="OE89" s="28"/>
    </row>
    <row r="90" spans="1:395" s="98" customFormat="1" ht="15" customHeight="1" x14ac:dyDescent="0.25">
      <c r="A90" s="135"/>
      <c r="B90" s="187" t="s">
        <v>70</v>
      </c>
      <c r="C90" s="322" t="s">
        <v>71</v>
      </c>
      <c r="D90" s="323" t="s">
        <v>956</v>
      </c>
      <c r="E90" s="300">
        <v>0</v>
      </c>
      <c r="F90" s="301">
        <f>IF($D$8="A VISTA",Planilha2!B74,Planilha2!B74)</f>
        <v>29.9</v>
      </c>
      <c r="G90" s="302">
        <v>0</v>
      </c>
      <c r="H90" s="301">
        <f>IFERROR(F90*(1+G90),#REF!)</f>
        <v>29.9</v>
      </c>
      <c r="I90" s="204">
        <f t="shared" si="113"/>
        <v>0</v>
      </c>
      <c r="J90" s="303">
        <f t="shared" si="100"/>
        <v>0</v>
      </c>
      <c r="K90" s="178">
        <f>Planilha2!C74</f>
        <v>28.404999999999998</v>
      </c>
      <c r="L90" s="179">
        <f t="shared" si="101"/>
        <v>28.404999999999998</v>
      </c>
      <c r="M90" s="178">
        <f t="shared" si="102"/>
        <v>0</v>
      </c>
      <c r="N90" s="178">
        <f t="shared" si="103"/>
        <v>0</v>
      </c>
      <c r="O90" s="139"/>
      <c r="P90" s="182">
        <f t="shared" si="104"/>
        <v>29.9</v>
      </c>
      <c r="Q90" s="182">
        <f t="shared" si="105"/>
        <v>28.404999999999998</v>
      </c>
      <c r="R90" s="188">
        <f>PROMO!C66</f>
        <v>29.9</v>
      </c>
      <c r="S90" s="188">
        <f>R90+R90*G90</f>
        <v>29.9</v>
      </c>
      <c r="T90" s="188">
        <f>E90*S90</f>
        <v>0</v>
      </c>
      <c r="U90" s="199">
        <f t="shared" si="106"/>
        <v>1.4950000000000001</v>
      </c>
      <c r="V90" s="188">
        <f t="shared" si="107"/>
        <v>28.404999999999998</v>
      </c>
      <c r="W90" s="199">
        <f t="shared" si="108"/>
        <v>1.4950000000000001</v>
      </c>
      <c r="X90" s="188">
        <f>S90-W90</f>
        <v>28.404999999999998</v>
      </c>
      <c r="Y90" s="182">
        <f t="shared" si="109"/>
        <v>0</v>
      </c>
      <c r="Z90" s="182">
        <f>S90*E90</f>
        <v>0</v>
      </c>
      <c r="AA90" s="182">
        <f>Z90*5%</f>
        <v>0</v>
      </c>
      <c r="AB90" s="182">
        <f t="shared" si="110"/>
        <v>0</v>
      </c>
      <c r="AC90" s="178">
        <f t="shared" si="111"/>
        <v>0</v>
      </c>
      <c r="AD90" s="197">
        <f t="shared" si="112"/>
        <v>28.404999999999998</v>
      </c>
      <c r="AE90" s="133"/>
      <c r="AF90" s="133"/>
      <c r="AG90" s="133"/>
      <c r="AH90" s="133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  <c r="GF90" s="28"/>
      <c r="GG90" s="28"/>
      <c r="GH90" s="28"/>
      <c r="GI90" s="28"/>
      <c r="GJ90" s="28"/>
      <c r="GK90" s="28"/>
      <c r="GL90" s="28"/>
      <c r="GM90" s="28"/>
      <c r="GN90" s="28"/>
      <c r="GO90" s="28"/>
      <c r="GP90" s="28"/>
      <c r="GQ90" s="28"/>
      <c r="GR90" s="28"/>
      <c r="GS90" s="28"/>
      <c r="GT90" s="28"/>
      <c r="GU90" s="28"/>
      <c r="GV90" s="28"/>
      <c r="GW90" s="28"/>
      <c r="GX90" s="28"/>
      <c r="GY90" s="28"/>
      <c r="GZ90" s="28"/>
      <c r="HA90" s="28"/>
      <c r="HB90" s="28"/>
      <c r="HC90" s="28"/>
      <c r="HD90" s="28"/>
      <c r="HE90" s="28"/>
      <c r="HF90" s="28"/>
      <c r="HG90" s="28"/>
      <c r="HH90" s="28"/>
      <c r="HI90" s="28"/>
      <c r="HJ90" s="28"/>
      <c r="HK90" s="28"/>
      <c r="HL90" s="28"/>
      <c r="HM90" s="28"/>
      <c r="HN90" s="28"/>
      <c r="HO90" s="28"/>
      <c r="HP90" s="28"/>
      <c r="HQ90" s="28"/>
      <c r="HR90" s="28"/>
      <c r="HS90" s="28"/>
      <c r="HT90" s="28"/>
      <c r="HU90" s="28"/>
      <c r="HV90" s="28"/>
      <c r="HW90" s="28"/>
      <c r="HX90" s="28"/>
      <c r="HY90" s="28"/>
      <c r="HZ90" s="28"/>
      <c r="IA90" s="28"/>
      <c r="IB90" s="28"/>
      <c r="IC90" s="28"/>
      <c r="ID90" s="28"/>
      <c r="IE90" s="28"/>
      <c r="IF90" s="28"/>
      <c r="IG90" s="28"/>
      <c r="IH90" s="28"/>
      <c r="II90" s="28"/>
      <c r="IJ90" s="28"/>
      <c r="IK90" s="28"/>
      <c r="IL90" s="28"/>
      <c r="IM90" s="28"/>
      <c r="IN90" s="28"/>
      <c r="IO90" s="28"/>
      <c r="IP90" s="28"/>
      <c r="IQ90" s="28"/>
      <c r="IR90" s="28"/>
      <c r="IS90" s="28"/>
      <c r="IT90" s="28"/>
      <c r="IU90" s="28"/>
      <c r="IV90" s="28"/>
      <c r="IW90" s="28"/>
      <c r="IX90" s="28"/>
      <c r="IY90" s="28"/>
      <c r="IZ90" s="28"/>
      <c r="JA90" s="28"/>
      <c r="JB90" s="28"/>
      <c r="JC90" s="28"/>
      <c r="JD90" s="28"/>
      <c r="JE90" s="28"/>
      <c r="JF90" s="28"/>
      <c r="JG90" s="28"/>
      <c r="JH90" s="28"/>
      <c r="JI90" s="28"/>
      <c r="JJ90" s="28"/>
      <c r="JK90" s="28"/>
      <c r="JL90" s="28"/>
      <c r="JM90" s="28"/>
      <c r="JN90" s="28"/>
      <c r="JO90" s="28"/>
      <c r="JP90" s="28"/>
      <c r="JQ90" s="28"/>
      <c r="JR90" s="28"/>
      <c r="JS90" s="28"/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/>
      <c r="KM90" s="28"/>
      <c r="KN90" s="28"/>
      <c r="KO90" s="28"/>
      <c r="KP90" s="28"/>
      <c r="KQ90" s="28"/>
      <c r="KR90" s="28"/>
      <c r="KS90" s="28"/>
      <c r="KT90" s="28"/>
      <c r="KU90" s="28"/>
      <c r="KV90" s="28"/>
      <c r="KW90" s="28"/>
      <c r="KX90" s="28"/>
      <c r="KY90" s="28"/>
      <c r="KZ90" s="28"/>
      <c r="LA90" s="28"/>
      <c r="LB90" s="28"/>
      <c r="LC90" s="28"/>
      <c r="LD90" s="28"/>
      <c r="LE90" s="28"/>
      <c r="LF90" s="28"/>
      <c r="LG90" s="28"/>
      <c r="LH90" s="28"/>
      <c r="LI90" s="28"/>
      <c r="LJ90" s="28"/>
      <c r="LK90" s="28"/>
      <c r="LL90" s="28"/>
      <c r="LM90" s="28"/>
      <c r="LN90" s="28"/>
      <c r="LO90" s="28"/>
      <c r="LP90" s="28"/>
      <c r="LQ90" s="28"/>
      <c r="LR90" s="28"/>
      <c r="LS90" s="28"/>
      <c r="LT90" s="28"/>
      <c r="LU90" s="28"/>
      <c r="LV90" s="28"/>
      <c r="LW90" s="28"/>
      <c r="LX90" s="28"/>
      <c r="LY90" s="28"/>
      <c r="LZ90" s="28"/>
      <c r="MA90" s="28"/>
      <c r="MB90" s="28"/>
      <c r="MC90" s="28"/>
      <c r="MD90" s="28"/>
      <c r="ME90" s="28"/>
      <c r="MF90" s="28"/>
      <c r="MG90" s="28"/>
      <c r="MH90" s="28"/>
      <c r="MI90" s="28"/>
      <c r="MJ90" s="28"/>
      <c r="MK90" s="28"/>
      <c r="ML90" s="28"/>
      <c r="MM90" s="28"/>
      <c r="MN90" s="28"/>
      <c r="MO90" s="28"/>
      <c r="MP90" s="28"/>
      <c r="MQ90" s="28"/>
      <c r="MR90" s="28"/>
      <c r="MS90" s="28"/>
      <c r="MT90" s="28"/>
      <c r="MU90" s="28"/>
      <c r="MV90" s="28"/>
      <c r="MW90" s="28"/>
      <c r="MX90" s="28"/>
      <c r="MY90" s="28"/>
      <c r="MZ90" s="28"/>
      <c r="NA90" s="28"/>
      <c r="NB90" s="28"/>
      <c r="NC90" s="28"/>
      <c r="ND90" s="28"/>
      <c r="NE90" s="28"/>
      <c r="NF90" s="28"/>
      <c r="NG90" s="28"/>
      <c r="NH90" s="28"/>
      <c r="NI90" s="28"/>
      <c r="NJ90" s="28"/>
      <c r="NK90" s="28"/>
      <c r="NL90" s="28"/>
      <c r="NM90" s="28"/>
      <c r="NN90" s="28"/>
      <c r="NO90" s="28"/>
      <c r="NP90" s="28"/>
      <c r="NQ90" s="28"/>
      <c r="NR90" s="28"/>
      <c r="NS90" s="28"/>
      <c r="NT90" s="28"/>
      <c r="NU90" s="28"/>
      <c r="NV90" s="28"/>
      <c r="NW90" s="28"/>
      <c r="NX90" s="28"/>
      <c r="NY90" s="28"/>
      <c r="NZ90" s="28"/>
      <c r="OA90" s="28"/>
      <c r="OB90" s="28"/>
      <c r="OC90" s="28"/>
      <c r="OD90" s="28"/>
      <c r="OE90" s="28"/>
    </row>
    <row r="91" spans="1:395" ht="15" customHeight="1" x14ac:dyDescent="0.25">
      <c r="A91" s="135"/>
      <c r="B91" s="412" t="s">
        <v>563</v>
      </c>
      <c r="C91" s="400">
        <v>7898670766363</v>
      </c>
      <c r="D91" s="413" t="s">
        <v>221</v>
      </c>
      <c r="E91" s="394">
        <v>0</v>
      </c>
      <c r="F91" s="395">
        <f>IF($D$8="A VISTA",Planilha2!B75,Planilha2!B75)</f>
        <v>38.479999999999997</v>
      </c>
      <c r="G91" s="396">
        <v>0</v>
      </c>
      <c r="H91" s="395">
        <f>IFERROR(F91*(1+G91),#REF!)</f>
        <v>38.479999999999997</v>
      </c>
      <c r="I91" s="395">
        <f t="shared" si="113"/>
        <v>0</v>
      </c>
      <c r="J91" s="397">
        <f t="shared" si="100"/>
        <v>0</v>
      </c>
      <c r="K91" s="182">
        <f>Planilha2!C75</f>
        <v>36.555999999999997</v>
      </c>
      <c r="L91" s="207">
        <f t="shared" si="101"/>
        <v>36.555999999999997</v>
      </c>
      <c r="M91" s="182">
        <f t="shared" si="102"/>
        <v>0</v>
      </c>
      <c r="N91" s="182">
        <f t="shared" si="103"/>
        <v>0</v>
      </c>
      <c r="O91" s="139"/>
      <c r="P91" s="182">
        <f t="shared" si="104"/>
        <v>38.479999999999997</v>
      </c>
      <c r="Q91" s="182">
        <f t="shared" si="105"/>
        <v>36.555999999999997</v>
      </c>
      <c r="R91" s="199">
        <f>F91</f>
        <v>38.479999999999997</v>
      </c>
      <c r="S91" s="199">
        <f t="shared" ref="S91:S97" si="114">H91</f>
        <v>38.479999999999997</v>
      </c>
      <c r="T91" s="199">
        <f t="shared" ref="T91:T97" si="115">J91</f>
        <v>0</v>
      </c>
      <c r="U91" s="199">
        <f t="shared" si="106"/>
        <v>1.9239999999999999</v>
      </c>
      <c r="V91" s="199">
        <f t="shared" si="107"/>
        <v>36.555999999999997</v>
      </c>
      <c r="W91" s="199">
        <f t="shared" si="108"/>
        <v>1.9239999999999999</v>
      </c>
      <c r="X91" s="199">
        <f t="shared" ref="X91:X97" si="116">L91</f>
        <v>36.555999999999997</v>
      </c>
      <c r="Y91" s="182">
        <f t="shared" si="109"/>
        <v>0</v>
      </c>
      <c r="Z91" s="182">
        <v>0</v>
      </c>
      <c r="AA91" s="182">
        <v>0</v>
      </c>
      <c r="AB91" s="182">
        <f t="shared" si="110"/>
        <v>0</v>
      </c>
      <c r="AC91" s="182">
        <f t="shared" si="111"/>
        <v>0</v>
      </c>
      <c r="AD91" s="173">
        <f t="shared" si="112"/>
        <v>36.555999999999997</v>
      </c>
      <c r="AE91" s="133"/>
      <c r="AF91" s="133"/>
      <c r="AG91" s="133"/>
      <c r="AH91" s="133"/>
    </row>
    <row r="92" spans="1:395" ht="15" customHeight="1" x14ac:dyDescent="0.25">
      <c r="A92" s="135"/>
      <c r="B92" s="320" t="s">
        <v>564</v>
      </c>
      <c r="C92" s="177">
        <v>7898670766370</v>
      </c>
      <c r="D92" s="323" t="s">
        <v>1240</v>
      </c>
      <c r="E92" s="300">
        <v>0</v>
      </c>
      <c r="F92" s="301">
        <f>IF($D$8="A VISTA",Planilha2!B76,Planilha2!B76)</f>
        <v>30.9</v>
      </c>
      <c r="G92" s="302">
        <v>0</v>
      </c>
      <c r="H92" s="301">
        <f>IFERROR(F92*(1+G92),#REF!)</f>
        <v>30.9</v>
      </c>
      <c r="I92" s="301">
        <f t="shared" si="113"/>
        <v>0</v>
      </c>
      <c r="J92" s="303">
        <f t="shared" si="100"/>
        <v>0</v>
      </c>
      <c r="K92" s="182">
        <f>Planilha2!C76</f>
        <v>29.354999999999997</v>
      </c>
      <c r="L92" s="207">
        <f t="shared" si="101"/>
        <v>29.354999999999997</v>
      </c>
      <c r="M92" s="182">
        <f t="shared" si="102"/>
        <v>0</v>
      </c>
      <c r="N92" s="182">
        <f t="shared" si="103"/>
        <v>0</v>
      </c>
      <c r="O92" s="139"/>
      <c r="P92" s="182">
        <f t="shared" si="104"/>
        <v>30.9</v>
      </c>
      <c r="Q92" s="182">
        <f t="shared" si="105"/>
        <v>29.354999999999997</v>
      </c>
      <c r="R92" s="199">
        <f>F92</f>
        <v>30.9</v>
      </c>
      <c r="S92" s="199">
        <f t="shared" si="114"/>
        <v>30.9</v>
      </c>
      <c r="T92" s="199">
        <f t="shared" si="115"/>
        <v>0</v>
      </c>
      <c r="U92" s="199">
        <f t="shared" si="106"/>
        <v>1.5449999999999999</v>
      </c>
      <c r="V92" s="199">
        <f t="shared" si="107"/>
        <v>29.354999999999997</v>
      </c>
      <c r="W92" s="199">
        <f t="shared" si="108"/>
        <v>1.5449999999999999</v>
      </c>
      <c r="X92" s="199">
        <f t="shared" si="116"/>
        <v>29.354999999999997</v>
      </c>
      <c r="Y92" s="182">
        <f t="shared" si="109"/>
        <v>0</v>
      </c>
      <c r="Z92" s="182">
        <v>0</v>
      </c>
      <c r="AA92" s="182">
        <v>0</v>
      </c>
      <c r="AB92" s="182">
        <f t="shared" si="110"/>
        <v>0</v>
      </c>
      <c r="AC92" s="182">
        <f t="shared" si="111"/>
        <v>0</v>
      </c>
      <c r="AD92" s="197">
        <f t="shared" si="112"/>
        <v>29.354999999999997</v>
      </c>
      <c r="AE92" s="133"/>
      <c r="AF92" s="133"/>
      <c r="AG92" s="133"/>
      <c r="AH92" s="133"/>
    </row>
    <row r="93" spans="1:395" s="28" customFormat="1" ht="15" customHeight="1" x14ac:dyDescent="0.25">
      <c r="A93" s="135"/>
      <c r="B93" s="66" t="s">
        <v>562</v>
      </c>
      <c r="C93" s="165">
        <v>7898670766400</v>
      </c>
      <c r="D93" s="62" t="s">
        <v>75</v>
      </c>
      <c r="E93" s="166">
        <v>0</v>
      </c>
      <c r="F93" s="167">
        <f>IF($D$8="A VISTA",Planilha2!B77,Planilha2!B77)</f>
        <v>40.9</v>
      </c>
      <c r="G93" s="168">
        <v>0</v>
      </c>
      <c r="H93" s="167">
        <f>IFERROR(F93*(1+G93),#REF!)</f>
        <v>40.9</v>
      </c>
      <c r="I93" s="167">
        <f t="shared" si="113"/>
        <v>0</v>
      </c>
      <c r="J93" s="169">
        <f t="shared" si="100"/>
        <v>0</v>
      </c>
      <c r="K93" s="176">
        <f>Planilha2!C77</f>
        <v>38.854999999999997</v>
      </c>
      <c r="L93" s="171">
        <f t="shared" si="101"/>
        <v>38.854999999999997</v>
      </c>
      <c r="M93" s="176">
        <f t="shared" si="102"/>
        <v>0</v>
      </c>
      <c r="N93" s="176">
        <f t="shared" si="103"/>
        <v>0</v>
      </c>
      <c r="O93" s="140"/>
      <c r="P93" s="176">
        <f t="shared" si="104"/>
        <v>40.9</v>
      </c>
      <c r="Q93" s="176">
        <f t="shared" si="105"/>
        <v>38.854999999999997</v>
      </c>
      <c r="R93" s="172">
        <f t="shared" ref="R93:R98" si="117">F93</f>
        <v>40.9</v>
      </c>
      <c r="S93" s="172">
        <f t="shared" si="114"/>
        <v>40.9</v>
      </c>
      <c r="T93" s="172">
        <f t="shared" si="115"/>
        <v>0</v>
      </c>
      <c r="U93" s="172">
        <f t="shared" si="106"/>
        <v>2.0449999999999999</v>
      </c>
      <c r="V93" s="172">
        <f t="shared" si="107"/>
        <v>38.854999999999997</v>
      </c>
      <c r="W93" s="172">
        <f t="shared" si="108"/>
        <v>2.0449999999999999</v>
      </c>
      <c r="X93" s="172">
        <f t="shared" si="116"/>
        <v>38.854999999999997</v>
      </c>
      <c r="Y93" s="176">
        <f t="shared" si="109"/>
        <v>0</v>
      </c>
      <c r="Z93" s="176">
        <v>0</v>
      </c>
      <c r="AA93" s="176">
        <v>0</v>
      </c>
      <c r="AB93" s="176">
        <f t="shared" si="110"/>
        <v>0</v>
      </c>
      <c r="AC93" s="176">
        <f t="shared" si="111"/>
        <v>0</v>
      </c>
      <c r="AD93" s="267">
        <f t="shared" si="112"/>
        <v>38.854999999999997</v>
      </c>
      <c r="AE93" s="133"/>
      <c r="AF93" s="133"/>
      <c r="AG93" s="133"/>
      <c r="AH93" s="133"/>
    </row>
    <row r="94" spans="1:395" s="28" customFormat="1" ht="15" customHeight="1" x14ac:dyDescent="0.25">
      <c r="A94" s="135"/>
      <c r="B94" s="66" t="s">
        <v>76</v>
      </c>
      <c r="C94" s="62" t="s">
        <v>77</v>
      </c>
      <c r="D94" s="62" t="s">
        <v>78</v>
      </c>
      <c r="E94" s="166">
        <v>0</v>
      </c>
      <c r="F94" s="167">
        <f>IF($D$8="A VISTA",Planilha2!B78,Planilha2!B78)</f>
        <v>37.299999999999997</v>
      </c>
      <c r="G94" s="168">
        <v>0</v>
      </c>
      <c r="H94" s="167">
        <f>IFERROR(F94*(1+G94),#REF!)</f>
        <v>37.299999999999997</v>
      </c>
      <c r="I94" s="167">
        <f t="shared" si="113"/>
        <v>0</v>
      </c>
      <c r="J94" s="169">
        <f t="shared" si="100"/>
        <v>0</v>
      </c>
      <c r="K94" s="176">
        <f>Planilha2!C78</f>
        <v>35.434999999999995</v>
      </c>
      <c r="L94" s="171">
        <f t="shared" si="101"/>
        <v>35.434999999999995</v>
      </c>
      <c r="M94" s="176">
        <f t="shared" si="102"/>
        <v>0</v>
      </c>
      <c r="N94" s="176">
        <f t="shared" si="103"/>
        <v>0</v>
      </c>
      <c r="O94" s="140"/>
      <c r="P94" s="176">
        <f t="shared" si="104"/>
        <v>37.299999999999997</v>
      </c>
      <c r="Q94" s="176">
        <f t="shared" si="105"/>
        <v>35.434999999999995</v>
      </c>
      <c r="R94" s="172">
        <f t="shared" si="117"/>
        <v>37.299999999999997</v>
      </c>
      <c r="S94" s="172">
        <f t="shared" si="114"/>
        <v>37.299999999999997</v>
      </c>
      <c r="T94" s="172">
        <f t="shared" si="115"/>
        <v>0</v>
      </c>
      <c r="U94" s="172">
        <f t="shared" si="106"/>
        <v>1.865</v>
      </c>
      <c r="V94" s="172">
        <f t="shared" si="107"/>
        <v>35.434999999999995</v>
      </c>
      <c r="W94" s="172">
        <f t="shared" si="108"/>
        <v>1.865</v>
      </c>
      <c r="X94" s="172">
        <f t="shared" si="116"/>
        <v>35.434999999999995</v>
      </c>
      <c r="Y94" s="176">
        <f t="shared" si="109"/>
        <v>0</v>
      </c>
      <c r="Z94" s="176">
        <v>0</v>
      </c>
      <c r="AA94" s="176">
        <v>0</v>
      </c>
      <c r="AB94" s="176">
        <f t="shared" si="110"/>
        <v>0</v>
      </c>
      <c r="AC94" s="176">
        <f t="shared" si="111"/>
        <v>0</v>
      </c>
      <c r="AD94" s="267">
        <f t="shared" si="112"/>
        <v>35.434999999999995</v>
      </c>
      <c r="AE94" s="133"/>
      <c r="AF94" s="133"/>
      <c r="AG94" s="133"/>
      <c r="AH94" s="133"/>
    </row>
    <row r="95" spans="1:395" s="28" customFormat="1" ht="15" customHeight="1" x14ac:dyDescent="0.25">
      <c r="A95" s="135"/>
      <c r="B95" s="66" t="s">
        <v>881</v>
      </c>
      <c r="C95" s="62" t="s">
        <v>80</v>
      </c>
      <c r="D95" s="62" t="s">
        <v>81</v>
      </c>
      <c r="E95" s="166">
        <v>0</v>
      </c>
      <c r="F95" s="167">
        <f>IF($D$8="A VISTA",Planilha2!B79,Planilha2!B79)</f>
        <v>43.9</v>
      </c>
      <c r="G95" s="168">
        <v>0</v>
      </c>
      <c r="H95" s="167">
        <f>IFERROR(F95*(1+G95),#REF!)</f>
        <v>43.9</v>
      </c>
      <c r="I95" s="167">
        <f t="shared" si="113"/>
        <v>0</v>
      </c>
      <c r="J95" s="169">
        <f t="shared" si="100"/>
        <v>0</v>
      </c>
      <c r="K95" s="176">
        <f>Planilha2!C79</f>
        <v>41.704999999999998</v>
      </c>
      <c r="L95" s="171">
        <f t="shared" si="101"/>
        <v>41.704999999999998</v>
      </c>
      <c r="M95" s="176">
        <f t="shared" si="102"/>
        <v>0</v>
      </c>
      <c r="N95" s="176">
        <f t="shared" si="103"/>
        <v>0</v>
      </c>
      <c r="O95" s="140"/>
      <c r="P95" s="176">
        <f t="shared" si="104"/>
        <v>43.9</v>
      </c>
      <c r="Q95" s="176">
        <f t="shared" si="105"/>
        <v>41.704999999999998</v>
      </c>
      <c r="R95" s="172">
        <f t="shared" si="117"/>
        <v>43.9</v>
      </c>
      <c r="S95" s="172">
        <f t="shared" si="114"/>
        <v>43.9</v>
      </c>
      <c r="T95" s="172">
        <f t="shared" si="115"/>
        <v>0</v>
      </c>
      <c r="U95" s="172">
        <f t="shared" si="106"/>
        <v>2.1949999999999998</v>
      </c>
      <c r="V95" s="172">
        <f t="shared" si="107"/>
        <v>41.704999999999998</v>
      </c>
      <c r="W95" s="172">
        <f t="shared" si="108"/>
        <v>2.1949999999999998</v>
      </c>
      <c r="X95" s="172">
        <f t="shared" si="116"/>
        <v>41.704999999999998</v>
      </c>
      <c r="Y95" s="176">
        <f t="shared" si="109"/>
        <v>0</v>
      </c>
      <c r="Z95" s="176">
        <v>0</v>
      </c>
      <c r="AA95" s="176">
        <v>0</v>
      </c>
      <c r="AB95" s="176">
        <f t="shared" si="110"/>
        <v>0</v>
      </c>
      <c r="AC95" s="176">
        <f t="shared" si="111"/>
        <v>0</v>
      </c>
      <c r="AD95" s="267">
        <f t="shared" si="112"/>
        <v>41.704999999999998</v>
      </c>
      <c r="AE95" s="133"/>
      <c r="AF95" s="133"/>
      <c r="AG95" s="133"/>
      <c r="AH95" s="133"/>
    </row>
    <row r="96" spans="1:395" s="28" customFormat="1" ht="15" customHeight="1" x14ac:dyDescent="0.25">
      <c r="A96" s="135"/>
      <c r="B96" s="66" t="s">
        <v>561</v>
      </c>
      <c r="C96" s="62" t="s">
        <v>82</v>
      </c>
      <c r="D96" s="62" t="s">
        <v>1239</v>
      </c>
      <c r="E96" s="166">
        <v>0</v>
      </c>
      <c r="F96" s="167">
        <f>IF($D$8="A VISTA",Planilha2!B80,Planilha2!B80)</f>
        <v>39.9</v>
      </c>
      <c r="G96" s="168">
        <v>0</v>
      </c>
      <c r="H96" s="167">
        <f>IFERROR(F96*(1+G96),#REF!)</f>
        <v>39.9</v>
      </c>
      <c r="I96" s="167">
        <f t="shared" si="113"/>
        <v>0</v>
      </c>
      <c r="J96" s="169">
        <f t="shared" si="100"/>
        <v>0</v>
      </c>
      <c r="K96" s="176">
        <f>Planilha2!C80</f>
        <v>37.905000000000001</v>
      </c>
      <c r="L96" s="171">
        <f t="shared" si="101"/>
        <v>37.905000000000001</v>
      </c>
      <c r="M96" s="176">
        <f t="shared" si="102"/>
        <v>0</v>
      </c>
      <c r="N96" s="176">
        <f t="shared" si="103"/>
        <v>0</v>
      </c>
      <c r="O96" s="140"/>
      <c r="P96" s="176">
        <f t="shared" si="104"/>
        <v>39.9</v>
      </c>
      <c r="Q96" s="176">
        <f t="shared" si="105"/>
        <v>37.905000000000001</v>
      </c>
      <c r="R96" s="172">
        <f t="shared" si="117"/>
        <v>39.9</v>
      </c>
      <c r="S96" s="172">
        <f t="shared" si="114"/>
        <v>39.9</v>
      </c>
      <c r="T96" s="172">
        <f t="shared" si="115"/>
        <v>0</v>
      </c>
      <c r="U96" s="172">
        <f t="shared" si="106"/>
        <v>1.9950000000000001</v>
      </c>
      <c r="V96" s="172">
        <f t="shared" si="107"/>
        <v>37.905000000000001</v>
      </c>
      <c r="W96" s="172">
        <f t="shared" si="108"/>
        <v>1.9950000000000001</v>
      </c>
      <c r="X96" s="172">
        <f t="shared" si="116"/>
        <v>37.905000000000001</v>
      </c>
      <c r="Y96" s="176">
        <f t="shared" si="109"/>
        <v>0</v>
      </c>
      <c r="Z96" s="176">
        <v>0</v>
      </c>
      <c r="AA96" s="176">
        <v>0</v>
      </c>
      <c r="AB96" s="176">
        <f t="shared" si="110"/>
        <v>0</v>
      </c>
      <c r="AC96" s="176">
        <f t="shared" si="111"/>
        <v>0</v>
      </c>
      <c r="AD96" s="267">
        <f t="shared" si="112"/>
        <v>37.905000000000001</v>
      </c>
      <c r="AE96" s="133"/>
      <c r="AF96" s="133"/>
      <c r="AG96" s="133"/>
      <c r="AH96" s="133"/>
    </row>
    <row r="97" spans="1:395" s="28" customFormat="1" ht="15" customHeight="1" x14ac:dyDescent="0.25">
      <c r="A97" s="135"/>
      <c r="B97" s="412" t="s">
        <v>560</v>
      </c>
      <c r="C97" s="400">
        <v>7898670766608</v>
      </c>
      <c r="D97" s="399" t="s">
        <v>1238</v>
      </c>
      <c r="E97" s="394">
        <v>0</v>
      </c>
      <c r="F97" s="395">
        <f>IF($D$8="A VISTA",Planilha2!B81,Planilha2!B81)</f>
        <v>34.9</v>
      </c>
      <c r="G97" s="396">
        <v>0</v>
      </c>
      <c r="H97" s="395">
        <f>IFERROR(F97*(1+G97),#REF!)</f>
        <v>34.9</v>
      </c>
      <c r="I97" s="395">
        <f t="shared" si="113"/>
        <v>0</v>
      </c>
      <c r="J97" s="397">
        <f t="shared" si="100"/>
        <v>0</v>
      </c>
      <c r="K97" s="176">
        <f>Planilha2!C81</f>
        <v>33.155000000000001</v>
      </c>
      <c r="L97" s="171">
        <f t="shared" si="101"/>
        <v>33.155000000000001</v>
      </c>
      <c r="M97" s="176">
        <f t="shared" si="102"/>
        <v>0</v>
      </c>
      <c r="N97" s="176">
        <f t="shared" si="103"/>
        <v>0</v>
      </c>
      <c r="O97" s="140"/>
      <c r="P97" s="176">
        <f t="shared" si="104"/>
        <v>34.9</v>
      </c>
      <c r="Q97" s="176">
        <f t="shared" si="105"/>
        <v>33.155000000000001</v>
      </c>
      <c r="R97" s="172">
        <f t="shared" si="117"/>
        <v>34.9</v>
      </c>
      <c r="S97" s="172">
        <f t="shared" si="114"/>
        <v>34.9</v>
      </c>
      <c r="T97" s="172">
        <f t="shared" si="115"/>
        <v>0</v>
      </c>
      <c r="U97" s="172">
        <f t="shared" si="106"/>
        <v>1.7450000000000001</v>
      </c>
      <c r="V97" s="172">
        <f t="shared" si="107"/>
        <v>33.155000000000001</v>
      </c>
      <c r="W97" s="172">
        <f t="shared" si="108"/>
        <v>1.7450000000000001</v>
      </c>
      <c r="X97" s="172">
        <f t="shared" si="116"/>
        <v>33.155000000000001</v>
      </c>
      <c r="Y97" s="176">
        <f t="shared" si="109"/>
        <v>0</v>
      </c>
      <c r="Z97" s="176">
        <v>0</v>
      </c>
      <c r="AA97" s="176">
        <v>0</v>
      </c>
      <c r="AB97" s="176">
        <f t="shared" si="110"/>
        <v>0</v>
      </c>
      <c r="AC97" s="176">
        <f t="shared" si="111"/>
        <v>0</v>
      </c>
      <c r="AD97" s="267">
        <f t="shared" si="112"/>
        <v>33.155000000000001</v>
      </c>
      <c r="AE97" s="133"/>
      <c r="AF97" s="133"/>
      <c r="AG97" s="133"/>
      <c r="AH97" s="133"/>
    </row>
    <row r="98" spans="1:395" s="28" customFormat="1" ht="15" customHeight="1" x14ac:dyDescent="0.25">
      <c r="A98" s="135"/>
      <c r="B98" s="66" t="s">
        <v>83</v>
      </c>
      <c r="C98" s="62" t="s">
        <v>84</v>
      </c>
      <c r="D98" s="62" t="s">
        <v>275</v>
      </c>
      <c r="E98" s="166">
        <v>0</v>
      </c>
      <c r="F98" s="167">
        <f>IF($D$8="A VISTA",Planilha2!B82,Planilha2!B82)</f>
        <v>45.9</v>
      </c>
      <c r="G98" s="168">
        <v>0</v>
      </c>
      <c r="H98" s="167">
        <f>IFERROR(F98*(1+G98),#REF!)</f>
        <v>45.9</v>
      </c>
      <c r="I98" s="167">
        <f t="shared" si="113"/>
        <v>0</v>
      </c>
      <c r="J98" s="169">
        <f t="shared" si="100"/>
        <v>0</v>
      </c>
      <c r="K98" s="176">
        <f>Planilha2!C82</f>
        <v>43.604999999999997</v>
      </c>
      <c r="L98" s="171">
        <f t="shared" si="101"/>
        <v>43.604999999999997</v>
      </c>
      <c r="M98" s="176">
        <f t="shared" si="102"/>
        <v>0</v>
      </c>
      <c r="N98" s="176">
        <f t="shared" si="103"/>
        <v>0</v>
      </c>
      <c r="O98" s="140"/>
      <c r="P98" s="176">
        <f t="shared" si="104"/>
        <v>45.9</v>
      </c>
      <c r="Q98" s="176">
        <f t="shared" si="105"/>
        <v>43.604999999999997</v>
      </c>
      <c r="R98" s="172">
        <f t="shared" si="117"/>
        <v>45.9</v>
      </c>
      <c r="S98" s="172">
        <f>R98+R98*G98</f>
        <v>45.9</v>
      </c>
      <c r="T98" s="172">
        <f>E98*S98</f>
        <v>0</v>
      </c>
      <c r="U98" s="172">
        <f t="shared" si="106"/>
        <v>2.2949999999999999</v>
      </c>
      <c r="V98" s="172">
        <f t="shared" si="107"/>
        <v>43.604999999999997</v>
      </c>
      <c r="W98" s="172">
        <f t="shared" si="108"/>
        <v>2.2949999999999999</v>
      </c>
      <c r="X98" s="172">
        <f>S98-W98</f>
        <v>43.604999999999997</v>
      </c>
      <c r="Y98" s="176">
        <f t="shared" si="109"/>
        <v>0</v>
      </c>
      <c r="Z98" s="176">
        <f>S98*E98</f>
        <v>0</v>
      </c>
      <c r="AA98" s="176">
        <f>Z98*5%</f>
        <v>0</v>
      </c>
      <c r="AB98" s="176">
        <f t="shared" si="110"/>
        <v>0</v>
      </c>
      <c r="AC98" s="176">
        <f t="shared" si="111"/>
        <v>0</v>
      </c>
      <c r="AD98" s="267">
        <f t="shared" si="112"/>
        <v>43.604999999999997</v>
      </c>
      <c r="AE98" s="133"/>
      <c r="AF98" s="133"/>
      <c r="AG98" s="133"/>
      <c r="AH98" s="133"/>
    </row>
    <row r="99" spans="1:395" s="28" customFormat="1" ht="15" customHeight="1" x14ac:dyDescent="0.25">
      <c r="A99" s="135"/>
      <c r="B99" s="62" t="s">
        <v>850</v>
      </c>
      <c r="C99" s="165">
        <v>7898670766608</v>
      </c>
      <c r="D99" s="62" t="s">
        <v>1237</v>
      </c>
      <c r="E99" s="166">
        <v>0</v>
      </c>
      <c r="F99" s="167">
        <f>IF($D$8="A VISTA",Planilha2!B83,Planilha2!B83)</f>
        <v>33.86</v>
      </c>
      <c r="G99" s="168">
        <v>0</v>
      </c>
      <c r="H99" s="167">
        <f>IFERROR(F99*(1+G99),#REF!)</f>
        <v>33.86</v>
      </c>
      <c r="I99" s="167">
        <f>F99*E99</f>
        <v>0</v>
      </c>
      <c r="J99" s="169">
        <f>SUM(E99*H99)</f>
        <v>0</v>
      </c>
      <c r="K99" s="176">
        <f>Planilha2!C83</f>
        <v>32.167000000000002</v>
      </c>
      <c r="L99" s="171">
        <f t="shared" si="101"/>
        <v>32.167000000000002</v>
      </c>
      <c r="M99" s="176">
        <f t="shared" si="102"/>
        <v>0</v>
      </c>
      <c r="N99" s="176">
        <f t="shared" si="103"/>
        <v>0</v>
      </c>
      <c r="O99" s="140"/>
      <c r="P99" s="176">
        <f t="shared" si="104"/>
        <v>33.86</v>
      </c>
      <c r="Q99" s="176">
        <f t="shared" si="105"/>
        <v>32.167000000000002</v>
      </c>
      <c r="R99" s="172">
        <f>PROMO!C195</f>
        <v>28.780999999999999</v>
      </c>
      <c r="S99" s="172">
        <f>R99+R99*G99</f>
        <v>28.780999999999999</v>
      </c>
      <c r="T99" s="172">
        <f>J99</f>
        <v>0</v>
      </c>
      <c r="U99" s="172">
        <f t="shared" si="106"/>
        <v>1.4390499999999999</v>
      </c>
      <c r="V99" s="172">
        <f t="shared" si="107"/>
        <v>27.341949999999997</v>
      </c>
      <c r="W99" s="172">
        <f t="shared" si="108"/>
        <v>1.4390499999999999</v>
      </c>
      <c r="X99" s="172">
        <f>L99</f>
        <v>32.167000000000002</v>
      </c>
      <c r="Y99" s="176">
        <f t="shared" si="109"/>
        <v>0</v>
      </c>
      <c r="Z99" s="176"/>
      <c r="AA99" s="176"/>
      <c r="AB99" s="176">
        <f t="shared" si="110"/>
        <v>0</v>
      </c>
      <c r="AC99" s="176">
        <f t="shared" si="111"/>
        <v>0</v>
      </c>
      <c r="AD99" s="267">
        <f t="shared" si="112"/>
        <v>32.167000000000002</v>
      </c>
      <c r="AE99" s="133"/>
      <c r="AF99" s="133"/>
      <c r="AG99" s="133"/>
      <c r="AH99" s="133"/>
    </row>
    <row r="100" spans="1:395" ht="15" customHeight="1" x14ac:dyDescent="0.25">
      <c r="A100" s="135"/>
      <c r="B100" s="157" t="s">
        <v>12</v>
      </c>
      <c r="C100" s="158" t="s">
        <v>13</v>
      </c>
      <c r="D100" s="160" t="s">
        <v>85</v>
      </c>
      <c r="E100" s="160" t="s">
        <v>15</v>
      </c>
      <c r="F100" s="161" t="s">
        <v>607</v>
      </c>
      <c r="G100" s="162" t="s">
        <v>500</v>
      </c>
      <c r="H100" s="161" t="s">
        <v>609</v>
      </c>
      <c r="I100" s="161" t="s">
        <v>615</v>
      </c>
      <c r="J100" s="161" t="s">
        <v>16</v>
      </c>
      <c r="K100" s="161" t="s">
        <v>606</v>
      </c>
      <c r="L100" s="162" t="s">
        <v>908</v>
      </c>
      <c r="M100" s="161" t="s">
        <v>615</v>
      </c>
      <c r="N100" s="161" t="s">
        <v>16</v>
      </c>
      <c r="O100" s="140"/>
      <c r="P100" s="161" t="s">
        <v>853</v>
      </c>
      <c r="Q100" s="161" t="s">
        <v>606</v>
      </c>
      <c r="R100" s="162" t="s">
        <v>910</v>
      </c>
      <c r="S100" s="162" t="s">
        <v>891</v>
      </c>
      <c r="T100" s="162" t="s">
        <v>892</v>
      </c>
      <c r="U100" s="163" t="s">
        <v>894</v>
      </c>
      <c r="V100" s="162" t="s">
        <v>870</v>
      </c>
      <c r="W100" s="163" t="s">
        <v>895</v>
      </c>
      <c r="X100" s="162" t="s">
        <v>893</v>
      </c>
      <c r="Y100" s="161" t="s">
        <v>596</v>
      </c>
      <c r="Z100" s="161" t="s">
        <v>861</v>
      </c>
      <c r="AA100" s="161" t="s">
        <v>860</v>
      </c>
      <c r="AB100" s="161" t="s">
        <v>859</v>
      </c>
      <c r="AC100" s="161" t="s">
        <v>858</v>
      </c>
      <c r="AD100" s="161" t="s">
        <v>874</v>
      </c>
      <c r="AE100" s="133"/>
      <c r="AF100" s="133"/>
      <c r="AG100" s="133"/>
      <c r="AH100" s="133"/>
    </row>
    <row r="101" spans="1:395" s="28" customFormat="1" ht="15" customHeight="1" x14ac:dyDescent="0.25">
      <c r="A101" s="135"/>
      <c r="B101" s="66" t="s">
        <v>86</v>
      </c>
      <c r="C101" s="62" t="s">
        <v>87</v>
      </c>
      <c r="D101" s="62" t="s">
        <v>267</v>
      </c>
      <c r="E101" s="166">
        <v>0</v>
      </c>
      <c r="F101" s="167">
        <f>IF($D$8="A VISTA",Planilha2!B85,Planilha2!B85)</f>
        <v>54.48</v>
      </c>
      <c r="G101" s="349">
        <v>9.7500000000000003E-2</v>
      </c>
      <c r="H101" s="167">
        <f>IFERROR(F101*(1+G101),#REF!)</f>
        <v>59.791799999999995</v>
      </c>
      <c r="I101" s="167">
        <f t="shared" ref="I101:I108" si="118">F101*E101</f>
        <v>0</v>
      </c>
      <c r="J101" s="169">
        <f t="shared" ref="J101:J108" si="119">SUM(E101*H101)</f>
        <v>0</v>
      </c>
      <c r="K101" s="176">
        <f>Planilha2!C85</f>
        <v>51.756</v>
      </c>
      <c r="L101" s="171">
        <f t="shared" ref="L101:L108" si="120">K101*G101+K101</f>
        <v>56.802210000000002</v>
      </c>
      <c r="M101" s="176">
        <f t="shared" ref="M101:M108" si="121">K101*E101</f>
        <v>0</v>
      </c>
      <c r="N101" s="176">
        <f t="shared" ref="N101:N108" si="122">L101*E101</f>
        <v>0</v>
      </c>
      <c r="O101" s="140"/>
      <c r="P101" s="176">
        <f t="shared" ref="P101:P108" si="123">H101</f>
        <v>59.791799999999995</v>
      </c>
      <c r="Q101" s="176">
        <f t="shared" ref="Q101:Q108" si="124">L101</f>
        <v>56.802210000000002</v>
      </c>
      <c r="R101" s="172">
        <f>F101</f>
        <v>54.48</v>
      </c>
      <c r="S101" s="172">
        <f>H101</f>
        <v>59.791799999999995</v>
      </c>
      <c r="T101" s="172">
        <f>J101</f>
        <v>0</v>
      </c>
      <c r="U101" s="172">
        <f t="shared" ref="U101:U108" si="125">R101*5%</f>
        <v>2.7240000000000002</v>
      </c>
      <c r="V101" s="172">
        <f t="shared" ref="V101:V108" si="126">R101-U101</f>
        <v>51.756</v>
      </c>
      <c r="W101" s="172">
        <f t="shared" ref="W101:W108" si="127">S101*5%</f>
        <v>2.9895899999999997</v>
      </c>
      <c r="X101" s="172">
        <f>L101</f>
        <v>56.802210000000002</v>
      </c>
      <c r="Y101" s="176">
        <f t="shared" ref="Y101:Y108" si="128">X101*E101</f>
        <v>0</v>
      </c>
      <c r="Z101" s="176">
        <v>0</v>
      </c>
      <c r="AA101" s="176">
        <v>0</v>
      </c>
      <c r="AB101" s="66">
        <f t="shared" ref="AB101:AB108" si="129">S101*E101</f>
        <v>0</v>
      </c>
      <c r="AC101" s="66">
        <f t="shared" ref="AC101:AC108" si="130">X101*E101</f>
        <v>0</v>
      </c>
      <c r="AD101" s="267">
        <f t="shared" si="112"/>
        <v>56.802210000000002</v>
      </c>
      <c r="AE101" s="133"/>
      <c r="AF101" s="133"/>
      <c r="AG101" s="133"/>
      <c r="AH101" s="133"/>
    </row>
    <row r="102" spans="1:395" s="98" customFormat="1" ht="15" customHeight="1" x14ac:dyDescent="0.25">
      <c r="A102" s="135"/>
      <c r="B102" s="320" t="s">
        <v>88</v>
      </c>
      <c r="C102" s="321" t="s">
        <v>89</v>
      </c>
      <c r="D102" s="321" t="s">
        <v>90</v>
      </c>
      <c r="E102" s="300">
        <v>0</v>
      </c>
      <c r="F102" s="301">
        <f>IF($D$8="A VISTA",Planilha2!B86,Planilha2!B86)</f>
        <v>47.476000000000006</v>
      </c>
      <c r="G102" s="330">
        <v>9.7500000000000003E-2</v>
      </c>
      <c r="H102" s="301">
        <f>IFERROR(F102*(1+G102),#REF!)</f>
        <v>52.104910000000004</v>
      </c>
      <c r="I102" s="204">
        <f t="shared" si="118"/>
        <v>0</v>
      </c>
      <c r="J102" s="303">
        <f t="shared" si="119"/>
        <v>0</v>
      </c>
      <c r="K102" s="178">
        <f>Planilha2!C86</f>
        <v>45.102200000000003</v>
      </c>
      <c r="L102" s="179">
        <f t="shared" si="120"/>
        <v>49.499664500000002</v>
      </c>
      <c r="M102" s="178">
        <f t="shared" si="121"/>
        <v>0</v>
      </c>
      <c r="N102" s="178">
        <f t="shared" si="122"/>
        <v>0</v>
      </c>
      <c r="O102" s="139"/>
      <c r="P102" s="182">
        <f t="shared" si="123"/>
        <v>52.104910000000004</v>
      </c>
      <c r="Q102" s="182">
        <f t="shared" si="124"/>
        <v>49.499664500000002</v>
      </c>
      <c r="R102" s="188">
        <f>PROMO!C78</f>
        <v>47.476000000000006</v>
      </c>
      <c r="S102" s="188">
        <f>R102+R102*G102</f>
        <v>52.104910000000004</v>
      </c>
      <c r="T102" s="188">
        <f>E102*S102</f>
        <v>0</v>
      </c>
      <c r="U102" s="199">
        <f t="shared" si="125"/>
        <v>2.3738000000000006</v>
      </c>
      <c r="V102" s="188">
        <f t="shared" si="126"/>
        <v>45.102200000000003</v>
      </c>
      <c r="W102" s="199">
        <f t="shared" si="127"/>
        <v>2.6052455000000005</v>
      </c>
      <c r="X102" s="188">
        <f>S102-W102</f>
        <v>49.499664500000002</v>
      </c>
      <c r="Y102" s="182">
        <f t="shared" si="128"/>
        <v>0</v>
      </c>
      <c r="Z102" s="182">
        <f>S102*E102</f>
        <v>0</v>
      </c>
      <c r="AA102" s="182">
        <f>Z102*5%</f>
        <v>0</v>
      </c>
      <c r="AB102" s="182">
        <f t="shared" si="129"/>
        <v>0</v>
      </c>
      <c r="AC102" s="178">
        <f t="shared" si="130"/>
        <v>0</v>
      </c>
      <c r="AD102" s="197">
        <f t="shared" si="112"/>
        <v>49.499664500000002</v>
      </c>
      <c r="AE102" s="133"/>
      <c r="AF102" s="133"/>
      <c r="AG102" s="133"/>
      <c r="AH102" s="133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  <c r="GE102" s="28"/>
      <c r="GF102" s="28"/>
      <c r="GG102" s="28"/>
      <c r="GH102" s="28"/>
      <c r="GI102" s="28"/>
      <c r="GJ102" s="28"/>
      <c r="GK102" s="28"/>
      <c r="GL102" s="28"/>
      <c r="GM102" s="28"/>
      <c r="GN102" s="28"/>
      <c r="GO102" s="28"/>
      <c r="GP102" s="28"/>
      <c r="GQ102" s="28"/>
      <c r="GR102" s="28"/>
      <c r="GS102" s="28"/>
      <c r="GT102" s="28"/>
      <c r="GU102" s="28"/>
      <c r="GV102" s="28"/>
      <c r="GW102" s="28"/>
      <c r="GX102" s="28"/>
      <c r="GY102" s="28"/>
      <c r="GZ102" s="28"/>
      <c r="HA102" s="28"/>
      <c r="HB102" s="28"/>
      <c r="HC102" s="28"/>
      <c r="HD102" s="28"/>
      <c r="HE102" s="28"/>
      <c r="HF102" s="28"/>
      <c r="HG102" s="28"/>
      <c r="HH102" s="28"/>
      <c r="HI102" s="28"/>
      <c r="HJ102" s="28"/>
      <c r="HK102" s="28"/>
      <c r="HL102" s="28"/>
      <c r="HM102" s="28"/>
      <c r="HN102" s="28"/>
      <c r="HO102" s="28"/>
      <c r="HP102" s="28"/>
      <c r="HQ102" s="28"/>
      <c r="HR102" s="28"/>
      <c r="HS102" s="28"/>
      <c r="HT102" s="28"/>
      <c r="HU102" s="28"/>
      <c r="HV102" s="28"/>
      <c r="HW102" s="28"/>
      <c r="HX102" s="28"/>
      <c r="HY102" s="28"/>
      <c r="HZ102" s="28"/>
      <c r="IA102" s="28"/>
      <c r="IB102" s="28"/>
      <c r="IC102" s="28"/>
      <c r="ID102" s="28"/>
      <c r="IE102" s="28"/>
      <c r="IF102" s="28"/>
      <c r="IG102" s="28"/>
      <c r="IH102" s="28"/>
      <c r="II102" s="28"/>
      <c r="IJ102" s="28"/>
      <c r="IK102" s="28"/>
      <c r="IL102" s="28"/>
      <c r="IM102" s="28"/>
      <c r="IN102" s="28"/>
      <c r="IO102" s="28"/>
      <c r="IP102" s="28"/>
      <c r="IQ102" s="28"/>
      <c r="IR102" s="28"/>
      <c r="IS102" s="28"/>
      <c r="IT102" s="28"/>
      <c r="IU102" s="28"/>
      <c r="IV102" s="28"/>
      <c r="IW102" s="28"/>
      <c r="IX102" s="28"/>
      <c r="IY102" s="28"/>
      <c r="IZ102" s="28"/>
      <c r="JA102" s="28"/>
      <c r="JB102" s="28"/>
      <c r="JC102" s="28"/>
      <c r="JD102" s="28"/>
      <c r="JE102" s="28"/>
      <c r="JF102" s="28"/>
      <c r="JG102" s="28"/>
      <c r="JH102" s="28"/>
      <c r="JI102" s="28"/>
      <c r="JJ102" s="28"/>
      <c r="JK102" s="28"/>
      <c r="JL102" s="28"/>
      <c r="JM102" s="28"/>
      <c r="JN102" s="28"/>
      <c r="JO102" s="28"/>
      <c r="JP102" s="28"/>
      <c r="JQ102" s="28"/>
      <c r="JR102" s="28"/>
      <c r="JS102" s="28"/>
      <c r="JT102" s="28"/>
      <c r="JU102" s="28"/>
      <c r="JV102" s="28"/>
      <c r="JW102" s="28"/>
      <c r="JX102" s="28"/>
      <c r="JY102" s="28"/>
      <c r="JZ102" s="28"/>
      <c r="KA102" s="28"/>
      <c r="KB102" s="28"/>
      <c r="KC102" s="28"/>
      <c r="KD102" s="28"/>
      <c r="KE102" s="28"/>
      <c r="KF102" s="28"/>
      <c r="KG102" s="28"/>
      <c r="KH102" s="28"/>
      <c r="KI102" s="28"/>
      <c r="KJ102" s="28"/>
      <c r="KK102" s="28"/>
      <c r="KL102" s="28"/>
      <c r="KM102" s="28"/>
      <c r="KN102" s="28"/>
      <c r="KO102" s="28"/>
      <c r="KP102" s="28"/>
      <c r="KQ102" s="28"/>
      <c r="KR102" s="28"/>
      <c r="KS102" s="28"/>
      <c r="KT102" s="28"/>
      <c r="KU102" s="28"/>
      <c r="KV102" s="28"/>
      <c r="KW102" s="28"/>
      <c r="KX102" s="28"/>
      <c r="KY102" s="28"/>
      <c r="KZ102" s="28"/>
      <c r="LA102" s="28"/>
      <c r="LB102" s="28"/>
      <c r="LC102" s="28"/>
      <c r="LD102" s="28"/>
      <c r="LE102" s="28"/>
      <c r="LF102" s="28"/>
      <c r="LG102" s="28"/>
      <c r="LH102" s="28"/>
      <c r="LI102" s="28"/>
      <c r="LJ102" s="28"/>
      <c r="LK102" s="28"/>
      <c r="LL102" s="28"/>
      <c r="LM102" s="28"/>
      <c r="LN102" s="28"/>
      <c r="LO102" s="28"/>
      <c r="LP102" s="28"/>
      <c r="LQ102" s="28"/>
      <c r="LR102" s="28"/>
      <c r="LS102" s="28"/>
      <c r="LT102" s="28"/>
      <c r="LU102" s="28"/>
      <c r="LV102" s="28"/>
      <c r="LW102" s="28"/>
      <c r="LX102" s="28"/>
      <c r="LY102" s="28"/>
      <c r="LZ102" s="28"/>
      <c r="MA102" s="28"/>
      <c r="MB102" s="28"/>
      <c r="MC102" s="28"/>
      <c r="MD102" s="28"/>
      <c r="ME102" s="28"/>
      <c r="MF102" s="28"/>
      <c r="MG102" s="28"/>
      <c r="MH102" s="28"/>
      <c r="MI102" s="28"/>
      <c r="MJ102" s="28"/>
      <c r="MK102" s="28"/>
      <c r="ML102" s="28"/>
      <c r="MM102" s="28"/>
      <c r="MN102" s="28"/>
      <c r="MO102" s="28"/>
      <c r="MP102" s="28"/>
      <c r="MQ102" s="28"/>
      <c r="MR102" s="28"/>
      <c r="MS102" s="28"/>
      <c r="MT102" s="28"/>
      <c r="MU102" s="28"/>
      <c r="MV102" s="28"/>
      <c r="MW102" s="28"/>
      <c r="MX102" s="28"/>
      <c r="MY102" s="28"/>
      <c r="MZ102" s="28"/>
      <c r="NA102" s="28"/>
      <c r="NB102" s="28"/>
      <c r="NC102" s="28"/>
      <c r="ND102" s="28"/>
      <c r="NE102" s="28"/>
      <c r="NF102" s="28"/>
      <c r="NG102" s="28"/>
      <c r="NH102" s="28"/>
      <c r="NI102" s="28"/>
      <c r="NJ102" s="28"/>
      <c r="NK102" s="28"/>
      <c r="NL102" s="28"/>
      <c r="NM102" s="28"/>
      <c r="NN102" s="28"/>
      <c r="NO102" s="28"/>
      <c r="NP102" s="28"/>
      <c r="NQ102" s="28"/>
      <c r="NR102" s="28"/>
      <c r="NS102" s="28"/>
      <c r="NT102" s="28"/>
      <c r="NU102" s="28"/>
      <c r="NV102" s="28"/>
      <c r="NW102" s="28"/>
      <c r="NX102" s="28"/>
      <c r="NY102" s="28"/>
      <c r="NZ102" s="28"/>
      <c r="OA102" s="28"/>
      <c r="OB102" s="28"/>
      <c r="OC102" s="28"/>
      <c r="OD102" s="28"/>
      <c r="OE102" s="28"/>
    </row>
    <row r="103" spans="1:395" s="98" customFormat="1" ht="15" customHeight="1" x14ac:dyDescent="0.25">
      <c r="A103" s="135"/>
      <c r="B103" s="65" t="s">
        <v>91</v>
      </c>
      <c r="C103" s="64" t="s">
        <v>92</v>
      </c>
      <c r="D103" s="64" t="s">
        <v>227</v>
      </c>
      <c r="E103" s="175">
        <v>0</v>
      </c>
      <c r="F103" s="204">
        <f>IF($D$8="A VISTA",Planilha2!B87,Planilha2!B87)</f>
        <v>42.9</v>
      </c>
      <c r="G103" s="414">
        <v>9.7500000000000003E-2</v>
      </c>
      <c r="H103" s="204">
        <f>IFERROR(F103*(1+G103),#REF!)</f>
        <v>47.082749999999997</v>
      </c>
      <c r="I103" s="204">
        <f t="shared" si="118"/>
        <v>0</v>
      </c>
      <c r="J103" s="206">
        <f t="shared" si="119"/>
        <v>0</v>
      </c>
      <c r="K103" s="178">
        <f>Planilha2!C87</f>
        <v>40.754999999999995</v>
      </c>
      <c r="L103" s="179">
        <f t="shared" si="120"/>
        <v>44.728612499999997</v>
      </c>
      <c r="M103" s="178">
        <f t="shared" si="121"/>
        <v>0</v>
      </c>
      <c r="N103" s="178">
        <f t="shared" si="122"/>
        <v>0</v>
      </c>
      <c r="O103" s="139"/>
      <c r="P103" s="182">
        <f t="shared" si="123"/>
        <v>47.082749999999997</v>
      </c>
      <c r="Q103" s="182">
        <f t="shared" si="124"/>
        <v>44.728612499999997</v>
      </c>
      <c r="R103" s="188">
        <f>PROMO!C79</f>
        <v>51.926500000000004</v>
      </c>
      <c r="S103" s="188">
        <f>R103+R103*G103</f>
        <v>56.989333750000007</v>
      </c>
      <c r="T103" s="188">
        <f>E103*S103</f>
        <v>0</v>
      </c>
      <c r="U103" s="199">
        <f t="shared" si="125"/>
        <v>2.5963250000000002</v>
      </c>
      <c r="V103" s="188">
        <f t="shared" si="126"/>
        <v>49.330175000000004</v>
      </c>
      <c r="W103" s="199">
        <f t="shared" si="127"/>
        <v>2.8494666875000005</v>
      </c>
      <c r="X103" s="188">
        <f>S103-W103</f>
        <v>54.139867062500009</v>
      </c>
      <c r="Y103" s="182">
        <f t="shared" si="128"/>
        <v>0</v>
      </c>
      <c r="Z103" s="182">
        <f>S103*E103</f>
        <v>0</v>
      </c>
      <c r="AA103" s="182">
        <f>Z103*5%</f>
        <v>0</v>
      </c>
      <c r="AB103" s="182">
        <f t="shared" si="129"/>
        <v>0</v>
      </c>
      <c r="AC103" s="178">
        <f t="shared" si="130"/>
        <v>0</v>
      </c>
      <c r="AD103" s="197">
        <f t="shared" si="112"/>
        <v>54.139867062500009</v>
      </c>
      <c r="AE103" s="133"/>
      <c r="AF103" s="133"/>
      <c r="AG103" s="133"/>
      <c r="AH103" s="133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  <c r="GF103" s="28"/>
      <c r="GG103" s="28"/>
      <c r="GH103" s="28"/>
      <c r="GI103" s="28"/>
      <c r="GJ103" s="28"/>
      <c r="GK103" s="28"/>
      <c r="GL103" s="28"/>
      <c r="GM103" s="28"/>
      <c r="GN103" s="28"/>
      <c r="GO103" s="28"/>
      <c r="GP103" s="28"/>
      <c r="GQ103" s="28"/>
      <c r="GR103" s="28"/>
      <c r="GS103" s="28"/>
      <c r="GT103" s="28"/>
      <c r="GU103" s="28"/>
      <c r="GV103" s="28"/>
      <c r="GW103" s="28"/>
      <c r="GX103" s="28"/>
      <c r="GY103" s="28"/>
      <c r="GZ103" s="28"/>
      <c r="HA103" s="28"/>
      <c r="HB103" s="28"/>
      <c r="HC103" s="28"/>
      <c r="HD103" s="28"/>
      <c r="HE103" s="28"/>
      <c r="HF103" s="28"/>
      <c r="HG103" s="28"/>
      <c r="HH103" s="28"/>
      <c r="HI103" s="28"/>
      <c r="HJ103" s="28"/>
      <c r="HK103" s="28"/>
      <c r="HL103" s="28"/>
      <c r="HM103" s="28"/>
      <c r="HN103" s="28"/>
      <c r="HO103" s="28"/>
      <c r="HP103" s="28"/>
      <c r="HQ103" s="28"/>
      <c r="HR103" s="28"/>
      <c r="HS103" s="28"/>
      <c r="HT103" s="28"/>
      <c r="HU103" s="28"/>
      <c r="HV103" s="28"/>
      <c r="HW103" s="28"/>
      <c r="HX103" s="28"/>
      <c r="HY103" s="28"/>
      <c r="HZ103" s="28"/>
      <c r="IA103" s="28"/>
      <c r="IB103" s="28"/>
      <c r="IC103" s="28"/>
      <c r="ID103" s="28"/>
      <c r="IE103" s="28"/>
      <c r="IF103" s="28"/>
      <c r="IG103" s="28"/>
      <c r="IH103" s="28"/>
      <c r="II103" s="28"/>
      <c r="IJ103" s="28"/>
      <c r="IK103" s="28"/>
      <c r="IL103" s="28"/>
      <c r="IM103" s="28"/>
      <c r="IN103" s="28"/>
      <c r="IO103" s="28"/>
      <c r="IP103" s="28"/>
      <c r="IQ103" s="28"/>
      <c r="IR103" s="28"/>
      <c r="IS103" s="28"/>
      <c r="IT103" s="28"/>
      <c r="IU103" s="28"/>
      <c r="IV103" s="28"/>
      <c r="IW103" s="28"/>
      <c r="IX103" s="28"/>
      <c r="IY103" s="28"/>
      <c r="IZ103" s="28"/>
      <c r="JA103" s="28"/>
      <c r="JB103" s="28"/>
      <c r="JC103" s="28"/>
      <c r="JD103" s="28"/>
      <c r="JE103" s="28"/>
      <c r="JF103" s="28"/>
      <c r="JG103" s="28"/>
      <c r="JH103" s="28"/>
      <c r="JI103" s="28"/>
      <c r="JJ103" s="28"/>
      <c r="JK103" s="28"/>
      <c r="JL103" s="28"/>
      <c r="JM103" s="28"/>
      <c r="JN103" s="28"/>
      <c r="JO103" s="28"/>
      <c r="JP103" s="28"/>
      <c r="JQ103" s="28"/>
      <c r="JR103" s="28"/>
      <c r="JS103" s="28"/>
      <c r="JT103" s="28"/>
      <c r="JU103" s="28"/>
      <c r="JV103" s="28"/>
      <c r="JW103" s="28"/>
      <c r="JX103" s="28"/>
      <c r="JY103" s="28"/>
      <c r="JZ103" s="28"/>
      <c r="KA103" s="28"/>
      <c r="KB103" s="28"/>
      <c r="KC103" s="28"/>
      <c r="KD103" s="28"/>
      <c r="KE103" s="28"/>
      <c r="KF103" s="28"/>
      <c r="KG103" s="28"/>
      <c r="KH103" s="28"/>
      <c r="KI103" s="28"/>
      <c r="KJ103" s="28"/>
      <c r="KK103" s="28"/>
      <c r="KL103" s="28"/>
      <c r="KM103" s="28"/>
      <c r="KN103" s="28"/>
      <c r="KO103" s="28"/>
      <c r="KP103" s="28"/>
      <c r="KQ103" s="28"/>
      <c r="KR103" s="28"/>
      <c r="KS103" s="28"/>
      <c r="KT103" s="28"/>
      <c r="KU103" s="28"/>
      <c r="KV103" s="28"/>
      <c r="KW103" s="28"/>
      <c r="KX103" s="28"/>
      <c r="KY103" s="28"/>
      <c r="KZ103" s="28"/>
      <c r="LA103" s="28"/>
      <c r="LB103" s="28"/>
      <c r="LC103" s="28"/>
      <c r="LD103" s="28"/>
      <c r="LE103" s="28"/>
      <c r="LF103" s="28"/>
      <c r="LG103" s="28"/>
      <c r="LH103" s="28"/>
      <c r="LI103" s="28"/>
      <c r="LJ103" s="28"/>
      <c r="LK103" s="28"/>
      <c r="LL103" s="28"/>
      <c r="LM103" s="28"/>
      <c r="LN103" s="28"/>
      <c r="LO103" s="28"/>
      <c r="LP103" s="28"/>
      <c r="LQ103" s="28"/>
      <c r="LR103" s="28"/>
      <c r="LS103" s="28"/>
      <c r="LT103" s="28"/>
      <c r="LU103" s="28"/>
      <c r="LV103" s="28"/>
      <c r="LW103" s="28"/>
      <c r="LX103" s="28"/>
      <c r="LY103" s="28"/>
      <c r="LZ103" s="28"/>
      <c r="MA103" s="28"/>
      <c r="MB103" s="28"/>
      <c r="MC103" s="28"/>
      <c r="MD103" s="28"/>
      <c r="ME103" s="28"/>
      <c r="MF103" s="28"/>
      <c r="MG103" s="28"/>
      <c r="MH103" s="28"/>
      <c r="MI103" s="28"/>
      <c r="MJ103" s="28"/>
      <c r="MK103" s="28"/>
      <c r="ML103" s="28"/>
      <c r="MM103" s="28"/>
      <c r="MN103" s="28"/>
      <c r="MO103" s="28"/>
      <c r="MP103" s="28"/>
      <c r="MQ103" s="28"/>
      <c r="MR103" s="28"/>
      <c r="MS103" s="28"/>
      <c r="MT103" s="28"/>
      <c r="MU103" s="28"/>
      <c r="MV103" s="28"/>
      <c r="MW103" s="28"/>
      <c r="MX103" s="28"/>
      <c r="MY103" s="28"/>
      <c r="MZ103" s="28"/>
      <c r="NA103" s="28"/>
      <c r="NB103" s="28"/>
      <c r="NC103" s="28"/>
      <c r="ND103" s="28"/>
      <c r="NE103" s="28"/>
      <c r="NF103" s="28"/>
      <c r="NG103" s="28"/>
      <c r="NH103" s="28"/>
      <c r="NI103" s="28"/>
      <c r="NJ103" s="28"/>
      <c r="NK103" s="28"/>
      <c r="NL103" s="28"/>
      <c r="NM103" s="28"/>
      <c r="NN103" s="28"/>
      <c r="NO103" s="28"/>
      <c r="NP103" s="28"/>
      <c r="NQ103" s="28"/>
      <c r="NR103" s="28"/>
      <c r="NS103" s="28"/>
      <c r="NT103" s="28"/>
      <c r="NU103" s="28"/>
      <c r="NV103" s="28"/>
      <c r="NW103" s="28"/>
      <c r="NX103" s="28"/>
      <c r="NY103" s="28"/>
      <c r="NZ103" s="28"/>
      <c r="OA103" s="28"/>
      <c r="OB103" s="28"/>
      <c r="OC103" s="28"/>
      <c r="OD103" s="28"/>
      <c r="OE103" s="28"/>
    </row>
    <row r="104" spans="1:395" s="28" customFormat="1" ht="15" customHeight="1" x14ac:dyDescent="0.25">
      <c r="A104" s="135"/>
      <c r="B104" s="412" t="s">
        <v>93</v>
      </c>
      <c r="C104" s="399" t="s">
        <v>94</v>
      </c>
      <c r="D104" s="399" t="s">
        <v>957</v>
      </c>
      <c r="E104" s="394">
        <v>0</v>
      </c>
      <c r="F104" s="395">
        <f>IF($D$8="A VISTA",Planilha2!B88,Planilha2!B88)</f>
        <v>33.9</v>
      </c>
      <c r="G104" s="415">
        <v>9.7500000000000003E-2</v>
      </c>
      <c r="H104" s="395">
        <f>IFERROR(F104*(1+G104),#REF!)</f>
        <v>37.205249999999992</v>
      </c>
      <c r="I104" s="395">
        <f t="shared" si="118"/>
        <v>0</v>
      </c>
      <c r="J104" s="397">
        <f t="shared" si="119"/>
        <v>0</v>
      </c>
      <c r="K104" s="176">
        <f>Planilha2!C88</f>
        <v>32.204999999999998</v>
      </c>
      <c r="L104" s="171">
        <f t="shared" si="120"/>
        <v>35.344987500000002</v>
      </c>
      <c r="M104" s="176">
        <f t="shared" si="121"/>
        <v>0</v>
      </c>
      <c r="N104" s="176">
        <f t="shared" si="122"/>
        <v>0</v>
      </c>
      <c r="O104" s="140"/>
      <c r="P104" s="176">
        <f t="shared" si="123"/>
        <v>37.205249999999992</v>
      </c>
      <c r="Q104" s="176">
        <f t="shared" si="124"/>
        <v>35.344987500000002</v>
      </c>
      <c r="R104" s="172">
        <f>F104</f>
        <v>33.9</v>
      </c>
      <c r="S104" s="172">
        <f>H104</f>
        <v>37.205249999999992</v>
      </c>
      <c r="T104" s="172">
        <f>J104</f>
        <v>0</v>
      </c>
      <c r="U104" s="172">
        <f t="shared" si="125"/>
        <v>1.6950000000000001</v>
      </c>
      <c r="V104" s="172">
        <f t="shared" si="126"/>
        <v>32.204999999999998</v>
      </c>
      <c r="W104" s="172">
        <f t="shared" si="127"/>
        <v>1.8602624999999997</v>
      </c>
      <c r="X104" s="172">
        <f>L104</f>
        <v>35.344987500000002</v>
      </c>
      <c r="Y104" s="176">
        <f t="shared" si="128"/>
        <v>0</v>
      </c>
      <c r="Z104" s="176">
        <v>0</v>
      </c>
      <c r="AA104" s="176">
        <v>0</v>
      </c>
      <c r="AB104" s="176">
        <f t="shared" si="129"/>
        <v>0</v>
      </c>
      <c r="AC104" s="176">
        <f t="shared" si="130"/>
        <v>0</v>
      </c>
      <c r="AD104" s="267">
        <f t="shared" si="112"/>
        <v>35.344987500000002</v>
      </c>
      <c r="AE104" s="133"/>
      <c r="AF104" s="133"/>
      <c r="AG104" s="133"/>
      <c r="AH104" s="133"/>
    </row>
    <row r="105" spans="1:395" s="28" customFormat="1" ht="15" customHeight="1" x14ac:dyDescent="0.25">
      <c r="A105" s="135"/>
      <c r="B105" s="66" t="s">
        <v>842</v>
      </c>
      <c r="C105" s="165">
        <v>7898670767049</v>
      </c>
      <c r="D105" s="62" t="s">
        <v>1241</v>
      </c>
      <c r="E105" s="166">
        <v>0</v>
      </c>
      <c r="F105" s="167">
        <f>IF($D$8="A VISTA",Planilha2!B89,Planilha2!B89)</f>
        <v>37.9</v>
      </c>
      <c r="G105" s="349">
        <v>9.7500000000000003E-2</v>
      </c>
      <c r="H105" s="167">
        <f>IFERROR(F105*(1+G105),#REF!)</f>
        <v>41.595249999999993</v>
      </c>
      <c r="I105" s="167">
        <f>F105*E105</f>
        <v>0</v>
      </c>
      <c r="J105" s="169">
        <f>SUM(E105*H105)</f>
        <v>0</v>
      </c>
      <c r="K105" s="176">
        <f>Planilha2!C89</f>
        <v>36.004999999999995</v>
      </c>
      <c r="L105" s="171">
        <f t="shared" si="120"/>
        <v>39.515487499999992</v>
      </c>
      <c r="M105" s="176">
        <f t="shared" si="121"/>
        <v>0</v>
      </c>
      <c r="N105" s="176">
        <f t="shared" si="122"/>
        <v>0</v>
      </c>
      <c r="O105" s="140"/>
      <c r="P105" s="176">
        <f t="shared" si="123"/>
        <v>41.595249999999993</v>
      </c>
      <c r="Q105" s="176">
        <f t="shared" si="124"/>
        <v>39.515487499999992</v>
      </c>
      <c r="R105" s="172">
        <f>F105</f>
        <v>37.9</v>
      </c>
      <c r="S105" s="172">
        <f>H105</f>
        <v>41.595249999999993</v>
      </c>
      <c r="T105" s="172">
        <f>J105</f>
        <v>0</v>
      </c>
      <c r="U105" s="172">
        <f t="shared" si="125"/>
        <v>1.895</v>
      </c>
      <c r="V105" s="172">
        <f t="shared" si="126"/>
        <v>36.004999999999995</v>
      </c>
      <c r="W105" s="172">
        <f t="shared" si="127"/>
        <v>2.0797624999999997</v>
      </c>
      <c r="X105" s="172">
        <f>L105</f>
        <v>39.515487499999992</v>
      </c>
      <c r="Y105" s="176">
        <f t="shared" si="128"/>
        <v>0</v>
      </c>
      <c r="Z105" s="176"/>
      <c r="AA105" s="176"/>
      <c r="AB105" s="176">
        <f t="shared" si="129"/>
        <v>0</v>
      </c>
      <c r="AC105" s="176">
        <f t="shared" si="130"/>
        <v>0</v>
      </c>
      <c r="AD105" s="267">
        <f t="shared" si="112"/>
        <v>39.515487499999992</v>
      </c>
      <c r="AE105" s="133"/>
      <c r="AF105" s="133"/>
      <c r="AG105" s="133"/>
      <c r="AH105" s="133"/>
    </row>
    <row r="106" spans="1:395" s="28" customFormat="1" ht="15" customHeight="1" x14ac:dyDescent="0.25">
      <c r="A106" s="135"/>
      <c r="B106" s="66" t="s">
        <v>95</v>
      </c>
      <c r="C106" s="62" t="s">
        <v>96</v>
      </c>
      <c r="D106" s="62" t="s">
        <v>958</v>
      </c>
      <c r="E106" s="166">
        <v>0</v>
      </c>
      <c r="F106" s="167">
        <f>IF($D$8="A VISTA",Planilha2!B90,Planilha2!B90)</f>
        <v>9.9</v>
      </c>
      <c r="G106" s="349">
        <v>9.7500000000000003E-2</v>
      </c>
      <c r="H106" s="167">
        <f>IFERROR(F106*(1+G106),#REF!)</f>
        <v>10.86525</v>
      </c>
      <c r="I106" s="167">
        <f t="shared" si="118"/>
        <v>0</v>
      </c>
      <c r="J106" s="169">
        <f t="shared" si="119"/>
        <v>0</v>
      </c>
      <c r="K106" s="176">
        <f>Planilha2!C90</f>
        <v>9.4050000000000011</v>
      </c>
      <c r="L106" s="171">
        <f t="shared" si="120"/>
        <v>10.321987500000001</v>
      </c>
      <c r="M106" s="176">
        <f t="shared" si="121"/>
        <v>0</v>
      </c>
      <c r="N106" s="176">
        <f t="shared" si="122"/>
        <v>0</v>
      </c>
      <c r="O106" s="140"/>
      <c r="P106" s="176">
        <f t="shared" si="123"/>
        <v>10.86525</v>
      </c>
      <c r="Q106" s="176">
        <f t="shared" si="124"/>
        <v>10.321987500000001</v>
      </c>
      <c r="R106" s="172">
        <f>PROMO!C99</f>
        <v>12.9</v>
      </c>
      <c r="S106" s="172">
        <f>R106+R106*G106</f>
        <v>14.15775</v>
      </c>
      <c r="T106" s="172">
        <f>E106*S106</f>
        <v>0</v>
      </c>
      <c r="U106" s="172">
        <f t="shared" si="125"/>
        <v>0.64500000000000002</v>
      </c>
      <c r="V106" s="172">
        <f t="shared" si="126"/>
        <v>12.255000000000001</v>
      </c>
      <c r="W106" s="172">
        <f t="shared" si="127"/>
        <v>0.7078875</v>
      </c>
      <c r="X106" s="172">
        <f>S106-W106</f>
        <v>13.4498625</v>
      </c>
      <c r="Y106" s="176">
        <f t="shared" si="128"/>
        <v>0</v>
      </c>
      <c r="Z106" s="176">
        <f>S106*E106</f>
        <v>0</v>
      </c>
      <c r="AA106" s="176">
        <f>Z106*5%</f>
        <v>0</v>
      </c>
      <c r="AB106" s="176">
        <f t="shared" si="129"/>
        <v>0</v>
      </c>
      <c r="AC106" s="176">
        <f t="shared" si="130"/>
        <v>0</v>
      </c>
      <c r="AD106" s="267">
        <f t="shared" si="112"/>
        <v>13.4498625</v>
      </c>
      <c r="AE106" s="133"/>
      <c r="AF106" s="133"/>
      <c r="AG106" s="133"/>
      <c r="AH106" s="133"/>
    </row>
    <row r="107" spans="1:395" s="28" customFormat="1" ht="15" customHeight="1" x14ac:dyDescent="0.25">
      <c r="A107" s="135"/>
      <c r="B107" s="412" t="s">
        <v>543</v>
      </c>
      <c r="C107" s="400">
        <v>7898670766424</v>
      </c>
      <c r="D107" s="399" t="s">
        <v>250</v>
      </c>
      <c r="E107" s="394">
        <v>0</v>
      </c>
      <c r="F107" s="395">
        <f>IF($D$8="A VISTA",Planilha2!B91,Planilha2!B91)</f>
        <v>14.9</v>
      </c>
      <c r="G107" s="415">
        <v>9.7500000000000003E-2</v>
      </c>
      <c r="H107" s="395">
        <f>IFERROR(F107*(1+G107),#REF!)</f>
        <v>16.35275</v>
      </c>
      <c r="I107" s="395">
        <f t="shared" si="118"/>
        <v>0</v>
      </c>
      <c r="J107" s="397">
        <f t="shared" si="119"/>
        <v>0</v>
      </c>
      <c r="K107" s="176">
        <f>Planilha2!C91</f>
        <v>14.155000000000001</v>
      </c>
      <c r="L107" s="171">
        <f t="shared" si="120"/>
        <v>15.5351125</v>
      </c>
      <c r="M107" s="176">
        <f t="shared" si="121"/>
        <v>0</v>
      </c>
      <c r="N107" s="176">
        <f t="shared" si="122"/>
        <v>0</v>
      </c>
      <c r="O107" s="140"/>
      <c r="P107" s="176">
        <f t="shared" si="123"/>
        <v>16.35275</v>
      </c>
      <c r="Q107" s="176">
        <f t="shared" si="124"/>
        <v>15.5351125</v>
      </c>
      <c r="R107" s="172">
        <f>F107</f>
        <v>14.9</v>
      </c>
      <c r="S107" s="172">
        <f>H107</f>
        <v>16.35275</v>
      </c>
      <c r="T107" s="172">
        <f>J107</f>
        <v>0</v>
      </c>
      <c r="U107" s="172">
        <f t="shared" si="125"/>
        <v>0.74500000000000011</v>
      </c>
      <c r="V107" s="172">
        <f t="shared" si="126"/>
        <v>14.155000000000001</v>
      </c>
      <c r="W107" s="172">
        <f t="shared" si="127"/>
        <v>0.81763750000000002</v>
      </c>
      <c r="X107" s="172">
        <f>L107</f>
        <v>15.5351125</v>
      </c>
      <c r="Y107" s="176">
        <f t="shared" si="128"/>
        <v>0</v>
      </c>
      <c r="Z107" s="176">
        <v>0</v>
      </c>
      <c r="AA107" s="176">
        <v>0</v>
      </c>
      <c r="AB107" s="176">
        <f t="shared" si="129"/>
        <v>0</v>
      </c>
      <c r="AC107" s="176">
        <f t="shared" si="130"/>
        <v>0</v>
      </c>
      <c r="AD107" s="267">
        <f t="shared" si="112"/>
        <v>15.5351125</v>
      </c>
      <c r="AE107" s="133"/>
      <c r="AF107" s="133"/>
      <c r="AG107" s="133"/>
      <c r="AH107" s="133"/>
    </row>
    <row r="108" spans="1:395" s="28" customFormat="1" ht="15" customHeight="1" x14ac:dyDescent="0.25">
      <c r="A108" s="135"/>
      <c r="B108" s="412" t="s">
        <v>548</v>
      </c>
      <c r="C108" s="400">
        <v>7898670766455</v>
      </c>
      <c r="D108" s="399" t="s">
        <v>231</v>
      </c>
      <c r="E108" s="394">
        <v>0</v>
      </c>
      <c r="F108" s="395">
        <f>IF($D$8="A VISTA",Planilha2!B93,Planilha2!B93)</f>
        <v>9.9</v>
      </c>
      <c r="G108" s="415">
        <v>0</v>
      </c>
      <c r="H108" s="395">
        <f>IFERROR(F108*(1+G108),#REF!)</f>
        <v>9.9</v>
      </c>
      <c r="I108" s="395">
        <f t="shared" si="118"/>
        <v>0</v>
      </c>
      <c r="J108" s="397">
        <f t="shared" si="119"/>
        <v>0</v>
      </c>
      <c r="K108" s="176">
        <f>Planilha2!C92</f>
        <v>9.4050000000000011</v>
      </c>
      <c r="L108" s="171">
        <f t="shared" si="120"/>
        <v>9.4050000000000011</v>
      </c>
      <c r="M108" s="176">
        <f t="shared" si="121"/>
        <v>0</v>
      </c>
      <c r="N108" s="176">
        <f t="shared" si="122"/>
        <v>0</v>
      </c>
      <c r="O108" s="140"/>
      <c r="P108" s="176">
        <f t="shared" si="123"/>
        <v>9.9</v>
      </c>
      <c r="Q108" s="176">
        <f t="shared" si="124"/>
        <v>9.4050000000000011</v>
      </c>
      <c r="R108" s="172">
        <f>F108</f>
        <v>9.9</v>
      </c>
      <c r="S108" s="172">
        <f>R108+R108*G108</f>
        <v>9.9</v>
      </c>
      <c r="T108" s="172">
        <f>E108*S108</f>
        <v>0</v>
      </c>
      <c r="U108" s="172">
        <f t="shared" si="125"/>
        <v>0.49500000000000005</v>
      </c>
      <c r="V108" s="172">
        <f t="shared" si="126"/>
        <v>9.4050000000000011</v>
      </c>
      <c r="W108" s="172">
        <f t="shared" si="127"/>
        <v>0.49500000000000005</v>
      </c>
      <c r="X108" s="172">
        <f>S108-W108</f>
        <v>9.4050000000000011</v>
      </c>
      <c r="Y108" s="176">
        <f t="shared" si="128"/>
        <v>0</v>
      </c>
      <c r="Z108" s="176">
        <v>0</v>
      </c>
      <c r="AA108" s="176">
        <v>0</v>
      </c>
      <c r="AB108" s="176">
        <f t="shared" si="129"/>
        <v>0</v>
      </c>
      <c r="AC108" s="176">
        <f t="shared" si="130"/>
        <v>0</v>
      </c>
      <c r="AD108" s="267">
        <f t="shared" si="112"/>
        <v>9.4050000000000011</v>
      </c>
      <c r="AE108" s="133"/>
      <c r="AF108" s="133"/>
      <c r="AG108" s="133"/>
      <c r="AH108" s="133"/>
    </row>
    <row r="109" spans="1:395" ht="15" customHeight="1" x14ac:dyDescent="0.25">
      <c r="A109" s="135"/>
      <c r="B109" s="201" t="s">
        <v>99</v>
      </c>
      <c r="C109" s="158" t="s">
        <v>13</v>
      </c>
      <c r="D109" s="201" t="s">
        <v>100</v>
      </c>
      <c r="E109" s="160" t="s">
        <v>15</v>
      </c>
      <c r="F109" s="161" t="s">
        <v>607</v>
      </c>
      <c r="G109" s="162" t="s">
        <v>500</v>
      </c>
      <c r="H109" s="161" t="s">
        <v>609</v>
      </c>
      <c r="I109" s="161" t="s">
        <v>615</v>
      </c>
      <c r="J109" s="202" t="s">
        <v>16</v>
      </c>
      <c r="K109" s="161" t="s">
        <v>606</v>
      </c>
      <c r="L109" s="162" t="s">
        <v>908</v>
      </c>
      <c r="M109" s="161" t="s">
        <v>615</v>
      </c>
      <c r="N109" s="161" t="s">
        <v>16</v>
      </c>
      <c r="O109" s="140"/>
      <c r="P109" s="161" t="s">
        <v>853</v>
      </c>
      <c r="Q109" s="161" t="s">
        <v>606</v>
      </c>
      <c r="R109" s="162" t="s">
        <v>910</v>
      </c>
      <c r="S109" s="162" t="s">
        <v>891</v>
      </c>
      <c r="T109" s="162" t="s">
        <v>892</v>
      </c>
      <c r="U109" s="163" t="s">
        <v>894</v>
      </c>
      <c r="V109" s="162" t="s">
        <v>870</v>
      </c>
      <c r="W109" s="163" t="s">
        <v>895</v>
      </c>
      <c r="X109" s="162" t="s">
        <v>893</v>
      </c>
      <c r="Y109" s="161" t="s">
        <v>596</v>
      </c>
      <c r="Z109" s="161" t="s">
        <v>861</v>
      </c>
      <c r="AA109" s="161" t="s">
        <v>860</v>
      </c>
      <c r="AB109" s="161" t="s">
        <v>859</v>
      </c>
      <c r="AC109" s="161" t="s">
        <v>858</v>
      </c>
      <c r="AD109" s="161" t="s">
        <v>874</v>
      </c>
      <c r="AE109" s="133"/>
      <c r="AF109" s="133"/>
      <c r="AG109" s="133"/>
      <c r="AH109" s="133"/>
    </row>
    <row r="110" spans="1:395" s="98" customFormat="1" ht="17.45" customHeight="1" x14ac:dyDescent="0.25">
      <c r="A110" s="135"/>
      <c r="B110" s="320" t="s">
        <v>101</v>
      </c>
      <c r="C110" s="322" t="s">
        <v>102</v>
      </c>
      <c r="D110" s="321" t="s">
        <v>959</v>
      </c>
      <c r="E110" s="300">
        <v>0</v>
      </c>
      <c r="F110" s="301">
        <f>IF($D$8="A VISTA",Planilha2!B95,Planilha2!B95)</f>
        <v>29.9</v>
      </c>
      <c r="G110" s="330">
        <v>9.7500000000000003E-2</v>
      </c>
      <c r="H110" s="301">
        <f>IFERROR(F110*(1+G110),#REF!)</f>
        <v>32.815249999999999</v>
      </c>
      <c r="I110" s="204">
        <f>F110*E110</f>
        <v>0</v>
      </c>
      <c r="J110" s="303">
        <f>SUM(E110*H110)</f>
        <v>0</v>
      </c>
      <c r="K110" s="178">
        <f>Planilha2!C95</f>
        <v>28.404999999999998</v>
      </c>
      <c r="L110" s="179">
        <f>K110*G110+K110</f>
        <v>31.174487499999998</v>
      </c>
      <c r="M110" s="178">
        <f>K110*E110</f>
        <v>0</v>
      </c>
      <c r="N110" s="178">
        <f>L110*E110</f>
        <v>0</v>
      </c>
      <c r="O110" s="139"/>
      <c r="P110" s="182">
        <f>H110</f>
        <v>32.815249999999999</v>
      </c>
      <c r="Q110" s="182">
        <f>L110</f>
        <v>31.174487499999998</v>
      </c>
      <c r="R110" s="188">
        <f>PROMO!C81</f>
        <v>29.9</v>
      </c>
      <c r="S110" s="188">
        <f>R110+R110*G110</f>
        <v>32.815249999999999</v>
      </c>
      <c r="T110" s="188">
        <f>E110*S110</f>
        <v>0</v>
      </c>
      <c r="U110" s="199">
        <f>R110*5%</f>
        <v>1.4950000000000001</v>
      </c>
      <c r="V110" s="188">
        <f>R110-U110</f>
        <v>28.404999999999998</v>
      </c>
      <c r="W110" s="199">
        <f t="shared" ref="W110:W114" si="131">S110*5%</f>
        <v>1.6407625000000001</v>
      </c>
      <c r="X110" s="188">
        <f>S110-W110</f>
        <v>31.174487499999998</v>
      </c>
      <c r="Y110" s="182">
        <f>X110*E110</f>
        <v>0</v>
      </c>
      <c r="Z110" s="182">
        <f>S110*E110</f>
        <v>0</v>
      </c>
      <c r="AA110" s="182">
        <f>Z110*5%</f>
        <v>0</v>
      </c>
      <c r="AB110" s="182">
        <f>S110*E110</f>
        <v>0</v>
      </c>
      <c r="AC110" s="178">
        <f>X110*E110</f>
        <v>0</v>
      </c>
      <c r="AD110" s="197">
        <f t="shared" si="112"/>
        <v>31.174487499999998</v>
      </c>
      <c r="AE110" s="133"/>
      <c r="AF110" s="133"/>
      <c r="AG110" s="133"/>
      <c r="AH110" s="133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  <c r="GL110" s="28"/>
      <c r="GM110" s="28"/>
      <c r="GN110" s="28"/>
      <c r="GO110" s="28"/>
      <c r="GP110" s="28"/>
      <c r="GQ110" s="28"/>
      <c r="GR110" s="28"/>
      <c r="GS110" s="28"/>
      <c r="GT110" s="28"/>
      <c r="GU110" s="28"/>
      <c r="GV110" s="28"/>
      <c r="GW110" s="28"/>
      <c r="GX110" s="28"/>
      <c r="GY110" s="28"/>
      <c r="GZ110" s="28"/>
      <c r="HA110" s="28"/>
      <c r="HB110" s="28"/>
      <c r="HC110" s="28"/>
      <c r="HD110" s="28"/>
      <c r="HE110" s="28"/>
      <c r="HF110" s="28"/>
      <c r="HG110" s="28"/>
      <c r="HH110" s="28"/>
      <c r="HI110" s="28"/>
      <c r="HJ110" s="28"/>
      <c r="HK110" s="28"/>
      <c r="HL110" s="28"/>
      <c r="HM110" s="28"/>
      <c r="HN110" s="28"/>
      <c r="HO110" s="28"/>
      <c r="HP110" s="28"/>
      <c r="HQ110" s="28"/>
      <c r="HR110" s="28"/>
      <c r="HS110" s="28"/>
      <c r="HT110" s="28"/>
      <c r="HU110" s="28"/>
      <c r="HV110" s="28"/>
      <c r="HW110" s="28"/>
      <c r="HX110" s="28"/>
      <c r="HY110" s="28"/>
      <c r="HZ110" s="28"/>
      <c r="IA110" s="28"/>
      <c r="IB110" s="28"/>
      <c r="IC110" s="28"/>
      <c r="ID110" s="28"/>
      <c r="IE110" s="28"/>
      <c r="IF110" s="28"/>
      <c r="IG110" s="28"/>
      <c r="IH110" s="28"/>
      <c r="II110" s="28"/>
      <c r="IJ110" s="28"/>
      <c r="IK110" s="28"/>
      <c r="IL110" s="28"/>
      <c r="IM110" s="28"/>
      <c r="IN110" s="28"/>
      <c r="IO110" s="28"/>
      <c r="IP110" s="28"/>
      <c r="IQ110" s="28"/>
      <c r="IR110" s="28"/>
      <c r="IS110" s="28"/>
      <c r="IT110" s="28"/>
      <c r="IU110" s="28"/>
      <c r="IV110" s="28"/>
      <c r="IW110" s="28"/>
      <c r="IX110" s="28"/>
      <c r="IY110" s="28"/>
      <c r="IZ110" s="28"/>
      <c r="JA110" s="28"/>
      <c r="JB110" s="28"/>
      <c r="JC110" s="28"/>
      <c r="JD110" s="28"/>
      <c r="JE110" s="28"/>
      <c r="JF110" s="28"/>
      <c r="JG110" s="28"/>
      <c r="JH110" s="28"/>
      <c r="JI110" s="28"/>
      <c r="JJ110" s="28"/>
      <c r="JK110" s="28"/>
      <c r="JL110" s="28"/>
      <c r="JM110" s="28"/>
      <c r="JN110" s="28"/>
      <c r="JO110" s="28"/>
      <c r="JP110" s="28"/>
      <c r="JQ110" s="28"/>
      <c r="JR110" s="28"/>
      <c r="JS110" s="28"/>
      <c r="JT110" s="28"/>
      <c r="JU110" s="28"/>
      <c r="JV110" s="28"/>
      <c r="JW110" s="28"/>
      <c r="JX110" s="28"/>
      <c r="JY110" s="28"/>
      <c r="JZ110" s="28"/>
      <c r="KA110" s="28"/>
      <c r="KB110" s="28"/>
      <c r="KC110" s="28"/>
      <c r="KD110" s="28"/>
      <c r="KE110" s="28"/>
      <c r="KF110" s="28"/>
      <c r="KG110" s="28"/>
      <c r="KH110" s="28"/>
      <c r="KI110" s="28"/>
      <c r="KJ110" s="28"/>
      <c r="KK110" s="28"/>
      <c r="KL110" s="28"/>
      <c r="KM110" s="28"/>
      <c r="KN110" s="28"/>
      <c r="KO110" s="28"/>
      <c r="KP110" s="28"/>
      <c r="KQ110" s="28"/>
      <c r="KR110" s="28"/>
      <c r="KS110" s="28"/>
      <c r="KT110" s="28"/>
      <c r="KU110" s="28"/>
      <c r="KV110" s="28"/>
      <c r="KW110" s="28"/>
      <c r="KX110" s="28"/>
      <c r="KY110" s="28"/>
      <c r="KZ110" s="28"/>
      <c r="LA110" s="28"/>
      <c r="LB110" s="28"/>
      <c r="LC110" s="28"/>
      <c r="LD110" s="28"/>
      <c r="LE110" s="28"/>
      <c r="LF110" s="28"/>
      <c r="LG110" s="28"/>
      <c r="LH110" s="28"/>
      <c r="LI110" s="28"/>
      <c r="LJ110" s="28"/>
      <c r="LK110" s="28"/>
      <c r="LL110" s="28"/>
      <c r="LM110" s="28"/>
      <c r="LN110" s="28"/>
      <c r="LO110" s="28"/>
      <c r="LP110" s="28"/>
      <c r="LQ110" s="28"/>
      <c r="LR110" s="28"/>
      <c r="LS110" s="28"/>
      <c r="LT110" s="28"/>
      <c r="LU110" s="28"/>
      <c r="LV110" s="28"/>
      <c r="LW110" s="28"/>
      <c r="LX110" s="28"/>
      <c r="LY110" s="28"/>
      <c r="LZ110" s="28"/>
      <c r="MA110" s="28"/>
      <c r="MB110" s="28"/>
      <c r="MC110" s="28"/>
      <c r="MD110" s="28"/>
      <c r="ME110" s="28"/>
      <c r="MF110" s="28"/>
      <c r="MG110" s="28"/>
      <c r="MH110" s="28"/>
      <c r="MI110" s="28"/>
      <c r="MJ110" s="28"/>
      <c r="MK110" s="28"/>
      <c r="ML110" s="28"/>
      <c r="MM110" s="28"/>
      <c r="MN110" s="28"/>
      <c r="MO110" s="28"/>
      <c r="MP110" s="28"/>
      <c r="MQ110" s="28"/>
      <c r="MR110" s="28"/>
      <c r="MS110" s="28"/>
      <c r="MT110" s="28"/>
      <c r="MU110" s="28"/>
      <c r="MV110" s="28"/>
      <c r="MW110" s="28"/>
      <c r="MX110" s="28"/>
      <c r="MY110" s="28"/>
      <c r="MZ110" s="28"/>
      <c r="NA110" s="28"/>
      <c r="NB110" s="28"/>
      <c r="NC110" s="28"/>
      <c r="ND110" s="28"/>
      <c r="NE110" s="28"/>
      <c r="NF110" s="28"/>
      <c r="NG110" s="28"/>
      <c r="NH110" s="28"/>
      <c r="NI110" s="28"/>
      <c r="NJ110" s="28"/>
      <c r="NK110" s="28"/>
      <c r="NL110" s="28"/>
      <c r="NM110" s="28"/>
      <c r="NN110" s="28"/>
      <c r="NO110" s="28"/>
      <c r="NP110" s="28"/>
      <c r="NQ110" s="28"/>
      <c r="NR110" s="28"/>
      <c r="NS110" s="28"/>
      <c r="NT110" s="28"/>
      <c r="NU110" s="28"/>
      <c r="NV110" s="28"/>
      <c r="NW110" s="28"/>
      <c r="NX110" s="28"/>
      <c r="NY110" s="28"/>
      <c r="NZ110" s="28"/>
      <c r="OA110" s="28"/>
      <c r="OB110" s="28"/>
      <c r="OC110" s="28"/>
      <c r="OD110" s="28"/>
      <c r="OE110" s="28"/>
    </row>
    <row r="111" spans="1:395" s="98" customFormat="1" ht="15" customHeight="1" x14ac:dyDescent="0.25">
      <c r="A111" s="135"/>
      <c r="B111" s="320" t="s">
        <v>104</v>
      </c>
      <c r="C111" s="322" t="s">
        <v>105</v>
      </c>
      <c r="D111" s="321" t="s">
        <v>960</v>
      </c>
      <c r="E111" s="300">
        <v>0</v>
      </c>
      <c r="F111" s="301">
        <f>IF($D$8="A VISTA",Planilha2!B96,Planilha2!B96)</f>
        <v>53.9</v>
      </c>
      <c r="G111" s="330">
        <v>9.7500000000000003E-2</v>
      </c>
      <c r="H111" s="301">
        <f>IFERROR(F111*(1+G111),#REF!)</f>
        <v>59.155249999999995</v>
      </c>
      <c r="I111" s="204">
        <f>F111*E111</f>
        <v>0</v>
      </c>
      <c r="J111" s="303">
        <f>SUM(E111*H111)</f>
        <v>0</v>
      </c>
      <c r="K111" s="178">
        <f>Planilha2!C96</f>
        <v>51.204999999999998</v>
      </c>
      <c r="L111" s="179">
        <f>K111*G111+K111</f>
        <v>56.197487500000001</v>
      </c>
      <c r="M111" s="178">
        <f>K111*E111</f>
        <v>0</v>
      </c>
      <c r="N111" s="178">
        <f>L111*E111</f>
        <v>0</v>
      </c>
      <c r="O111" s="139"/>
      <c r="P111" s="182">
        <f>H111</f>
        <v>59.155249999999995</v>
      </c>
      <c r="Q111" s="182">
        <f>L111</f>
        <v>56.197487500000001</v>
      </c>
      <c r="R111" s="188">
        <f>PROMO!C83</f>
        <v>53.9</v>
      </c>
      <c r="S111" s="188">
        <f>R111+R111*G111</f>
        <v>59.155249999999995</v>
      </c>
      <c r="T111" s="188">
        <f>E111*S111</f>
        <v>0</v>
      </c>
      <c r="U111" s="199">
        <f>R111*5%</f>
        <v>2.6950000000000003</v>
      </c>
      <c r="V111" s="188">
        <f>R111-U111</f>
        <v>51.204999999999998</v>
      </c>
      <c r="W111" s="199">
        <f t="shared" si="131"/>
        <v>2.9577624999999999</v>
      </c>
      <c r="X111" s="188">
        <f>S111-W111</f>
        <v>56.197487499999994</v>
      </c>
      <c r="Y111" s="182">
        <f>X111*E111</f>
        <v>0</v>
      </c>
      <c r="Z111" s="182">
        <f>S111*E111</f>
        <v>0</v>
      </c>
      <c r="AA111" s="182">
        <f>Z111*5%</f>
        <v>0</v>
      </c>
      <c r="AB111" s="182">
        <f>S111*E111</f>
        <v>0</v>
      </c>
      <c r="AC111" s="178">
        <f>X111*E111</f>
        <v>0</v>
      </c>
      <c r="AD111" s="197">
        <f t="shared" si="112"/>
        <v>56.197487499999994</v>
      </c>
      <c r="AE111" s="133"/>
      <c r="AF111" s="133"/>
      <c r="AG111" s="133"/>
      <c r="AH111" s="133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28"/>
      <c r="GN111" s="28"/>
      <c r="GO111" s="28"/>
      <c r="GP111" s="28"/>
      <c r="GQ111" s="28"/>
      <c r="GR111" s="28"/>
      <c r="GS111" s="28"/>
      <c r="GT111" s="28"/>
      <c r="GU111" s="28"/>
      <c r="GV111" s="28"/>
      <c r="GW111" s="28"/>
      <c r="GX111" s="28"/>
      <c r="GY111" s="28"/>
      <c r="GZ111" s="28"/>
      <c r="HA111" s="28"/>
      <c r="HB111" s="28"/>
      <c r="HC111" s="28"/>
      <c r="HD111" s="28"/>
      <c r="HE111" s="28"/>
      <c r="HF111" s="28"/>
      <c r="HG111" s="28"/>
      <c r="HH111" s="28"/>
      <c r="HI111" s="28"/>
      <c r="HJ111" s="28"/>
      <c r="HK111" s="28"/>
      <c r="HL111" s="28"/>
      <c r="HM111" s="28"/>
      <c r="HN111" s="28"/>
      <c r="HO111" s="28"/>
      <c r="HP111" s="28"/>
      <c r="HQ111" s="28"/>
      <c r="HR111" s="28"/>
      <c r="HS111" s="28"/>
      <c r="HT111" s="28"/>
      <c r="HU111" s="28"/>
      <c r="HV111" s="28"/>
      <c r="HW111" s="28"/>
      <c r="HX111" s="28"/>
      <c r="HY111" s="28"/>
      <c r="HZ111" s="28"/>
      <c r="IA111" s="28"/>
      <c r="IB111" s="28"/>
      <c r="IC111" s="28"/>
      <c r="ID111" s="28"/>
      <c r="IE111" s="28"/>
      <c r="IF111" s="28"/>
      <c r="IG111" s="28"/>
      <c r="IH111" s="28"/>
      <c r="II111" s="28"/>
      <c r="IJ111" s="28"/>
      <c r="IK111" s="28"/>
      <c r="IL111" s="28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28"/>
      <c r="JU111" s="28"/>
      <c r="JV111" s="28"/>
      <c r="JW111" s="28"/>
      <c r="JX111" s="28"/>
      <c r="JY111" s="28"/>
      <c r="JZ111" s="28"/>
      <c r="KA111" s="28"/>
      <c r="KB111" s="28"/>
      <c r="KC111" s="28"/>
      <c r="KD111" s="28"/>
      <c r="KE111" s="28"/>
      <c r="KF111" s="28"/>
      <c r="KG111" s="28"/>
      <c r="KH111" s="28"/>
      <c r="KI111" s="28"/>
      <c r="KJ111" s="28"/>
      <c r="KK111" s="28"/>
      <c r="KL111" s="28"/>
      <c r="KM111" s="28"/>
      <c r="KN111" s="28"/>
      <c r="KO111" s="28"/>
      <c r="KP111" s="28"/>
      <c r="KQ111" s="28"/>
      <c r="KR111" s="28"/>
      <c r="KS111" s="28"/>
      <c r="KT111" s="28"/>
      <c r="KU111" s="28"/>
      <c r="KV111" s="28"/>
      <c r="KW111" s="28"/>
      <c r="KX111" s="28"/>
      <c r="KY111" s="28"/>
      <c r="KZ111" s="28"/>
      <c r="LA111" s="28"/>
      <c r="LB111" s="28"/>
      <c r="LC111" s="28"/>
      <c r="LD111" s="28"/>
      <c r="LE111" s="28"/>
      <c r="LF111" s="28"/>
      <c r="LG111" s="28"/>
      <c r="LH111" s="28"/>
      <c r="LI111" s="28"/>
      <c r="LJ111" s="28"/>
      <c r="LK111" s="28"/>
      <c r="LL111" s="28"/>
      <c r="LM111" s="28"/>
      <c r="LN111" s="28"/>
      <c r="LO111" s="28"/>
      <c r="LP111" s="28"/>
      <c r="LQ111" s="28"/>
      <c r="LR111" s="28"/>
      <c r="LS111" s="28"/>
      <c r="LT111" s="28"/>
      <c r="LU111" s="28"/>
      <c r="LV111" s="28"/>
      <c r="LW111" s="28"/>
      <c r="LX111" s="28"/>
      <c r="LY111" s="28"/>
      <c r="LZ111" s="28"/>
      <c r="MA111" s="28"/>
      <c r="MB111" s="28"/>
      <c r="MC111" s="28"/>
      <c r="MD111" s="28"/>
      <c r="ME111" s="28"/>
      <c r="MF111" s="28"/>
      <c r="MG111" s="28"/>
      <c r="MH111" s="28"/>
      <c r="MI111" s="28"/>
      <c r="MJ111" s="28"/>
      <c r="MK111" s="28"/>
      <c r="ML111" s="28"/>
      <c r="MM111" s="28"/>
      <c r="MN111" s="28"/>
      <c r="MO111" s="28"/>
      <c r="MP111" s="28"/>
      <c r="MQ111" s="28"/>
      <c r="MR111" s="28"/>
      <c r="MS111" s="28"/>
      <c r="MT111" s="28"/>
      <c r="MU111" s="28"/>
      <c r="MV111" s="28"/>
      <c r="MW111" s="28"/>
      <c r="MX111" s="28"/>
      <c r="MY111" s="28"/>
      <c r="MZ111" s="28"/>
      <c r="NA111" s="28"/>
      <c r="NB111" s="28"/>
      <c r="NC111" s="28"/>
      <c r="ND111" s="28"/>
      <c r="NE111" s="28"/>
      <c r="NF111" s="28"/>
      <c r="NG111" s="28"/>
      <c r="NH111" s="28"/>
      <c r="NI111" s="28"/>
      <c r="NJ111" s="28"/>
      <c r="NK111" s="28"/>
      <c r="NL111" s="28"/>
      <c r="NM111" s="28"/>
      <c r="NN111" s="28"/>
      <c r="NO111" s="28"/>
      <c r="NP111" s="28"/>
      <c r="NQ111" s="28"/>
      <c r="NR111" s="28"/>
      <c r="NS111" s="28"/>
      <c r="NT111" s="28"/>
      <c r="NU111" s="28"/>
      <c r="NV111" s="28"/>
      <c r="NW111" s="28"/>
      <c r="NX111" s="28"/>
      <c r="NY111" s="28"/>
      <c r="NZ111" s="28"/>
      <c r="OA111" s="28"/>
      <c r="OB111" s="28"/>
      <c r="OC111" s="28"/>
      <c r="OD111" s="28"/>
      <c r="OE111" s="28"/>
    </row>
    <row r="112" spans="1:395" s="98" customFormat="1" ht="17.45" customHeight="1" x14ac:dyDescent="0.25">
      <c r="A112" s="135"/>
      <c r="B112" s="320" t="s">
        <v>107</v>
      </c>
      <c r="C112" s="322" t="s">
        <v>108</v>
      </c>
      <c r="D112" s="321" t="s">
        <v>961</v>
      </c>
      <c r="E112" s="300">
        <v>0</v>
      </c>
      <c r="F112" s="301">
        <f>IF($D$8="A VISTA",Planilha2!B97,Planilha2!B97)</f>
        <v>29.9</v>
      </c>
      <c r="G112" s="330">
        <v>9.7500000000000003E-2</v>
      </c>
      <c r="H112" s="301">
        <f>IFERROR(F112*(1+G112),#REF!)</f>
        <v>32.815249999999999</v>
      </c>
      <c r="I112" s="204">
        <f>F112*E112</f>
        <v>0</v>
      </c>
      <c r="J112" s="303">
        <f>SUM(E112*H112)</f>
        <v>0</v>
      </c>
      <c r="K112" s="178">
        <f>Planilha2!C97</f>
        <v>28.404999999999998</v>
      </c>
      <c r="L112" s="179">
        <f>K112*G112+K112</f>
        <v>31.174487499999998</v>
      </c>
      <c r="M112" s="178">
        <f>K112*E112</f>
        <v>0</v>
      </c>
      <c r="N112" s="178">
        <f>L112*E112</f>
        <v>0</v>
      </c>
      <c r="O112" s="139"/>
      <c r="P112" s="182">
        <f>H112</f>
        <v>32.815249999999999</v>
      </c>
      <c r="Q112" s="182">
        <f>L112</f>
        <v>31.174487499999998</v>
      </c>
      <c r="R112" s="188">
        <f>PROMO!C82</f>
        <v>29.9</v>
      </c>
      <c r="S112" s="188">
        <f>R112+R112*G112</f>
        <v>32.815249999999999</v>
      </c>
      <c r="T112" s="188">
        <f>E112*S112</f>
        <v>0</v>
      </c>
      <c r="U112" s="199">
        <f>R112*5%</f>
        <v>1.4950000000000001</v>
      </c>
      <c r="V112" s="188">
        <f>R112-U112</f>
        <v>28.404999999999998</v>
      </c>
      <c r="W112" s="199">
        <f t="shared" si="131"/>
        <v>1.6407625000000001</v>
      </c>
      <c r="X112" s="188">
        <f>S112-W112</f>
        <v>31.174487499999998</v>
      </c>
      <c r="Y112" s="182">
        <f>X112*E112</f>
        <v>0</v>
      </c>
      <c r="Z112" s="182">
        <f>S112*E112</f>
        <v>0</v>
      </c>
      <c r="AA112" s="182">
        <f>Z112*5%</f>
        <v>0</v>
      </c>
      <c r="AB112" s="182">
        <f>S112*E112</f>
        <v>0</v>
      </c>
      <c r="AC112" s="178">
        <f>X112*E112</f>
        <v>0</v>
      </c>
      <c r="AD112" s="197">
        <f t="shared" si="112"/>
        <v>31.174487499999998</v>
      </c>
      <c r="AE112" s="133"/>
      <c r="AF112" s="133"/>
      <c r="AG112" s="133"/>
      <c r="AH112" s="133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  <c r="GF112" s="28"/>
      <c r="GG112" s="28"/>
      <c r="GH112" s="28"/>
      <c r="GI112" s="28"/>
      <c r="GJ112" s="28"/>
      <c r="GK112" s="28"/>
      <c r="GL112" s="28"/>
      <c r="GM112" s="28"/>
      <c r="GN112" s="28"/>
      <c r="GO112" s="28"/>
      <c r="GP112" s="28"/>
      <c r="GQ112" s="28"/>
      <c r="GR112" s="28"/>
      <c r="GS112" s="28"/>
      <c r="GT112" s="28"/>
      <c r="GU112" s="28"/>
      <c r="GV112" s="28"/>
      <c r="GW112" s="28"/>
      <c r="GX112" s="28"/>
      <c r="GY112" s="28"/>
      <c r="GZ112" s="28"/>
      <c r="HA112" s="28"/>
      <c r="HB112" s="28"/>
      <c r="HC112" s="28"/>
      <c r="HD112" s="28"/>
      <c r="HE112" s="28"/>
      <c r="HF112" s="28"/>
      <c r="HG112" s="28"/>
      <c r="HH112" s="28"/>
      <c r="HI112" s="28"/>
      <c r="HJ112" s="28"/>
      <c r="HK112" s="28"/>
      <c r="HL112" s="28"/>
      <c r="HM112" s="28"/>
      <c r="HN112" s="28"/>
      <c r="HO112" s="28"/>
      <c r="HP112" s="28"/>
      <c r="HQ112" s="28"/>
      <c r="HR112" s="28"/>
      <c r="HS112" s="28"/>
      <c r="HT112" s="28"/>
      <c r="HU112" s="28"/>
      <c r="HV112" s="28"/>
      <c r="HW112" s="28"/>
      <c r="HX112" s="28"/>
      <c r="HY112" s="28"/>
      <c r="HZ112" s="28"/>
      <c r="IA112" s="28"/>
      <c r="IB112" s="28"/>
      <c r="IC112" s="28"/>
      <c r="ID112" s="28"/>
      <c r="IE112" s="28"/>
      <c r="IF112" s="28"/>
      <c r="IG112" s="28"/>
      <c r="IH112" s="28"/>
      <c r="II112" s="28"/>
      <c r="IJ112" s="28"/>
      <c r="IK112" s="28"/>
      <c r="IL112" s="28"/>
      <c r="IM112" s="28"/>
      <c r="IN112" s="28"/>
      <c r="IO112" s="28"/>
      <c r="IP112" s="28"/>
      <c r="IQ112" s="28"/>
      <c r="IR112" s="28"/>
      <c r="IS112" s="28"/>
      <c r="IT112" s="28"/>
      <c r="IU112" s="28"/>
      <c r="IV112" s="28"/>
      <c r="IW112" s="28"/>
      <c r="IX112" s="28"/>
      <c r="IY112" s="28"/>
      <c r="IZ112" s="28"/>
      <c r="JA112" s="28"/>
      <c r="JB112" s="28"/>
      <c r="JC112" s="28"/>
      <c r="JD112" s="28"/>
      <c r="JE112" s="28"/>
      <c r="JF112" s="28"/>
      <c r="JG112" s="28"/>
      <c r="JH112" s="28"/>
      <c r="JI112" s="28"/>
      <c r="JJ112" s="28"/>
      <c r="JK112" s="28"/>
      <c r="JL112" s="28"/>
      <c r="JM112" s="28"/>
      <c r="JN112" s="28"/>
      <c r="JO112" s="28"/>
      <c r="JP112" s="28"/>
      <c r="JQ112" s="28"/>
      <c r="JR112" s="28"/>
      <c r="JS112" s="28"/>
      <c r="JT112" s="28"/>
      <c r="JU112" s="28"/>
      <c r="JV112" s="28"/>
      <c r="JW112" s="28"/>
      <c r="JX112" s="28"/>
      <c r="JY112" s="28"/>
      <c r="JZ112" s="28"/>
      <c r="KA112" s="28"/>
      <c r="KB112" s="28"/>
      <c r="KC112" s="28"/>
      <c r="KD112" s="28"/>
      <c r="KE112" s="28"/>
      <c r="KF112" s="28"/>
      <c r="KG112" s="28"/>
      <c r="KH112" s="28"/>
      <c r="KI112" s="28"/>
      <c r="KJ112" s="28"/>
      <c r="KK112" s="28"/>
      <c r="KL112" s="28"/>
      <c r="KM112" s="28"/>
      <c r="KN112" s="28"/>
      <c r="KO112" s="28"/>
      <c r="KP112" s="28"/>
      <c r="KQ112" s="28"/>
      <c r="KR112" s="28"/>
      <c r="KS112" s="28"/>
      <c r="KT112" s="28"/>
      <c r="KU112" s="28"/>
      <c r="KV112" s="28"/>
      <c r="KW112" s="28"/>
      <c r="KX112" s="28"/>
      <c r="KY112" s="28"/>
      <c r="KZ112" s="28"/>
      <c r="LA112" s="28"/>
      <c r="LB112" s="28"/>
      <c r="LC112" s="28"/>
      <c r="LD112" s="28"/>
      <c r="LE112" s="28"/>
      <c r="LF112" s="28"/>
      <c r="LG112" s="28"/>
      <c r="LH112" s="28"/>
      <c r="LI112" s="28"/>
      <c r="LJ112" s="28"/>
      <c r="LK112" s="28"/>
      <c r="LL112" s="28"/>
      <c r="LM112" s="28"/>
      <c r="LN112" s="28"/>
      <c r="LO112" s="28"/>
      <c r="LP112" s="28"/>
      <c r="LQ112" s="28"/>
      <c r="LR112" s="28"/>
      <c r="LS112" s="28"/>
      <c r="LT112" s="28"/>
      <c r="LU112" s="28"/>
      <c r="LV112" s="28"/>
      <c r="LW112" s="28"/>
      <c r="LX112" s="28"/>
      <c r="LY112" s="28"/>
      <c r="LZ112" s="28"/>
      <c r="MA112" s="28"/>
      <c r="MB112" s="28"/>
      <c r="MC112" s="28"/>
      <c r="MD112" s="28"/>
      <c r="ME112" s="28"/>
      <c r="MF112" s="28"/>
      <c r="MG112" s="28"/>
      <c r="MH112" s="28"/>
      <c r="MI112" s="28"/>
      <c r="MJ112" s="28"/>
      <c r="MK112" s="28"/>
      <c r="ML112" s="28"/>
      <c r="MM112" s="28"/>
      <c r="MN112" s="28"/>
      <c r="MO112" s="28"/>
      <c r="MP112" s="28"/>
      <c r="MQ112" s="28"/>
      <c r="MR112" s="28"/>
      <c r="MS112" s="28"/>
      <c r="MT112" s="28"/>
      <c r="MU112" s="28"/>
      <c r="MV112" s="28"/>
      <c r="MW112" s="28"/>
      <c r="MX112" s="28"/>
      <c r="MY112" s="28"/>
      <c r="MZ112" s="28"/>
      <c r="NA112" s="28"/>
      <c r="NB112" s="28"/>
      <c r="NC112" s="28"/>
      <c r="ND112" s="28"/>
      <c r="NE112" s="28"/>
      <c r="NF112" s="28"/>
      <c r="NG112" s="28"/>
      <c r="NH112" s="28"/>
      <c r="NI112" s="28"/>
      <c r="NJ112" s="28"/>
      <c r="NK112" s="28"/>
      <c r="NL112" s="28"/>
      <c r="NM112" s="28"/>
      <c r="NN112" s="28"/>
      <c r="NO112" s="28"/>
      <c r="NP112" s="28"/>
      <c r="NQ112" s="28"/>
      <c r="NR112" s="28"/>
      <c r="NS112" s="28"/>
      <c r="NT112" s="28"/>
      <c r="NU112" s="28"/>
      <c r="NV112" s="28"/>
      <c r="NW112" s="28"/>
      <c r="NX112" s="28"/>
      <c r="NY112" s="28"/>
      <c r="NZ112" s="28"/>
      <c r="OA112" s="28"/>
      <c r="OB112" s="28"/>
      <c r="OC112" s="28"/>
      <c r="OD112" s="28"/>
      <c r="OE112" s="28"/>
    </row>
    <row r="113" spans="1:395" s="98" customFormat="1" ht="15" customHeight="1" x14ac:dyDescent="0.25">
      <c r="A113" s="135"/>
      <c r="B113" s="320" t="s">
        <v>110</v>
      </c>
      <c r="C113" s="322" t="s">
        <v>111</v>
      </c>
      <c r="D113" s="321" t="s">
        <v>962</v>
      </c>
      <c r="E113" s="300">
        <v>0</v>
      </c>
      <c r="F113" s="301">
        <f>IF($D$8="A VISTA",Planilha2!B98,Planilha2!B98)</f>
        <v>36.9</v>
      </c>
      <c r="G113" s="330">
        <v>9.7500000000000003E-2</v>
      </c>
      <c r="H113" s="301">
        <f>IFERROR(F113*(1+G113),#REF!)</f>
        <v>40.497749999999996</v>
      </c>
      <c r="I113" s="204">
        <f>F113*E113</f>
        <v>0</v>
      </c>
      <c r="J113" s="303">
        <f>SUM(E113*H113)</f>
        <v>0</v>
      </c>
      <c r="K113" s="178">
        <f>Planilha2!C98</f>
        <v>35.055</v>
      </c>
      <c r="L113" s="179">
        <f>K113*G113+K113</f>
        <v>38.472862499999998</v>
      </c>
      <c r="M113" s="178">
        <f>K113*E113</f>
        <v>0</v>
      </c>
      <c r="N113" s="178">
        <f>L113*E113</f>
        <v>0</v>
      </c>
      <c r="O113" s="139"/>
      <c r="P113" s="182">
        <f>H113</f>
        <v>40.497749999999996</v>
      </c>
      <c r="Q113" s="182">
        <f>L113</f>
        <v>38.472862499999998</v>
      </c>
      <c r="R113" s="188">
        <f>PROMO!C84</f>
        <v>36.9</v>
      </c>
      <c r="S113" s="188">
        <f>R113+R113*G113</f>
        <v>40.497749999999996</v>
      </c>
      <c r="T113" s="188">
        <f>E113*S113</f>
        <v>0</v>
      </c>
      <c r="U113" s="199">
        <f>R113*5%</f>
        <v>1.845</v>
      </c>
      <c r="V113" s="188">
        <f>R113-U113</f>
        <v>35.055</v>
      </c>
      <c r="W113" s="199">
        <f t="shared" si="131"/>
        <v>2.0248874999999997</v>
      </c>
      <c r="X113" s="188">
        <f>S113-W113</f>
        <v>38.472862499999998</v>
      </c>
      <c r="Y113" s="182">
        <f>X113*E113</f>
        <v>0</v>
      </c>
      <c r="Z113" s="182">
        <f>S113*E113</f>
        <v>0</v>
      </c>
      <c r="AA113" s="182">
        <f>Z113*5%</f>
        <v>0</v>
      </c>
      <c r="AB113" s="182">
        <f>S113*E113</f>
        <v>0</v>
      </c>
      <c r="AC113" s="178">
        <f>X113*E113</f>
        <v>0</v>
      </c>
      <c r="AD113" s="197">
        <f t="shared" si="112"/>
        <v>38.472862499999998</v>
      </c>
      <c r="AE113" s="133"/>
      <c r="AF113" s="133"/>
      <c r="AG113" s="133"/>
      <c r="AH113" s="133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  <c r="JJ113" s="28"/>
      <c r="JK113" s="28"/>
      <c r="JL113" s="28"/>
      <c r="JM113" s="28"/>
      <c r="JN113" s="28"/>
      <c r="JO113" s="28"/>
      <c r="JP113" s="28"/>
      <c r="JQ113" s="28"/>
      <c r="JR113" s="28"/>
      <c r="JS113" s="28"/>
      <c r="JT113" s="28"/>
      <c r="JU113" s="28"/>
      <c r="JV113" s="28"/>
      <c r="JW113" s="28"/>
      <c r="JX113" s="28"/>
      <c r="JY113" s="28"/>
      <c r="JZ113" s="28"/>
      <c r="KA113" s="28"/>
      <c r="KB113" s="28"/>
      <c r="KC113" s="28"/>
      <c r="KD113" s="28"/>
      <c r="KE113" s="28"/>
      <c r="KF113" s="28"/>
      <c r="KG113" s="28"/>
      <c r="KH113" s="28"/>
      <c r="KI113" s="28"/>
      <c r="KJ113" s="28"/>
      <c r="KK113" s="28"/>
      <c r="KL113" s="28"/>
      <c r="KM113" s="28"/>
      <c r="KN113" s="28"/>
      <c r="KO113" s="28"/>
      <c r="KP113" s="28"/>
      <c r="KQ113" s="28"/>
      <c r="KR113" s="28"/>
      <c r="KS113" s="28"/>
      <c r="KT113" s="28"/>
      <c r="KU113" s="28"/>
      <c r="KV113" s="28"/>
      <c r="KW113" s="28"/>
      <c r="KX113" s="28"/>
      <c r="KY113" s="28"/>
      <c r="KZ113" s="28"/>
      <c r="LA113" s="28"/>
      <c r="LB113" s="28"/>
      <c r="LC113" s="28"/>
      <c r="LD113" s="28"/>
      <c r="LE113" s="28"/>
      <c r="LF113" s="28"/>
      <c r="LG113" s="28"/>
      <c r="LH113" s="28"/>
      <c r="LI113" s="28"/>
      <c r="LJ113" s="28"/>
      <c r="LK113" s="28"/>
      <c r="LL113" s="28"/>
      <c r="LM113" s="28"/>
      <c r="LN113" s="28"/>
      <c r="LO113" s="28"/>
      <c r="LP113" s="28"/>
      <c r="LQ113" s="28"/>
      <c r="LR113" s="28"/>
      <c r="LS113" s="28"/>
      <c r="LT113" s="28"/>
      <c r="LU113" s="28"/>
      <c r="LV113" s="28"/>
      <c r="LW113" s="28"/>
      <c r="LX113" s="28"/>
      <c r="LY113" s="28"/>
      <c r="LZ113" s="28"/>
      <c r="MA113" s="28"/>
      <c r="MB113" s="28"/>
      <c r="MC113" s="28"/>
      <c r="MD113" s="28"/>
      <c r="ME113" s="28"/>
      <c r="MF113" s="28"/>
      <c r="MG113" s="28"/>
      <c r="MH113" s="28"/>
      <c r="MI113" s="28"/>
      <c r="MJ113" s="28"/>
      <c r="MK113" s="28"/>
      <c r="ML113" s="28"/>
      <c r="MM113" s="28"/>
      <c r="MN113" s="28"/>
      <c r="MO113" s="28"/>
      <c r="MP113" s="28"/>
      <c r="MQ113" s="28"/>
      <c r="MR113" s="28"/>
      <c r="MS113" s="28"/>
      <c r="MT113" s="28"/>
      <c r="MU113" s="28"/>
      <c r="MV113" s="28"/>
      <c r="MW113" s="28"/>
      <c r="MX113" s="28"/>
      <c r="MY113" s="28"/>
      <c r="MZ113" s="28"/>
      <c r="NA113" s="28"/>
      <c r="NB113" s="28"/>
      <c r="NC113" s="28"/>
      <c r="ND113" s="28"/>
      <c r="NE113" s="28"/>
      <c r="NF113" s="28"/>
      <c r="NG113" s="28"/>
      <c r="NH113" s="28"/>
      <c r="NI113" s="28"/>
      <c r="NJ113" s="28"/>
      <c r="NK113" s="28"/>
      <c r="NL113" s="28"/>
      <c r="NM113" s="28"/>
      <c r="NN113" s="28"/>
      <c r="NO113" s="28"/>
      <c r="NP113" s="28"/>
      <c r="NQ113" s="28"/>
      <c r="NR113" s="28"/>
      <c r="NS113" s="28"/>
      <c r="NT113" s="28"/>
      <c r="NU113" s="28"/>
      <c r="NV113" s="28"/>
      <c r="NW113" s="28"/>
      <c r="NX113" s="28"/>
      <c r="NY113" s="28"/>
      <c r="NZ113" s="28"/>
      <c r="OA113" s="28"/>
      <c r="OB113" s="28"/>
      <c r="OC113" s="28"/>
      <c r="OD113" s="28"/>
      <c r="OE113" s="28"/>
    </row>
    <row r="114" spans="1:395" s="98" customFormat="1" ht="15" customHeight="1" x14ac:dyDescent="0.25">
      <c r="A114" s="135"/>
      <c r="B114" s="320" t="s">
        <v>844</v>
      </c>
      <c r="C114" s="247">
        <v>7898670767032</v>
      </c>
      <c r="D114" s="321" t="s">
        <v>1243</v>
      </c>
      <c r="E114" s="300">
        <v>0</v>
      </c>
      <c r="F114" s="301">
        <f>IF($D$8="A VISTA",Planilha2!B99,Planilha2!B99)</f>
        <v>69.900000000000006</v>
      </c>
      <c r="G114" s="330">
        <v>9.7500000000000003E-2</v>
      </c>
      <c r="H114" s="301">
        <f>IFERROR(F114*(1+G114),#REF!)</f>
        <v>76.715249999999997</v>
      </c>
      <c r="I114" s="204">
        <f>F114*E114</f>
        <v>0</v>
      </c>
      <c r="J114" s="303">
        <f>SUM(E114*H114)</f>
        <v>0</v>
      </c>
      <c r="K114" s="178">
        <f>Planilha2!C99</f>
        <v>66.405000000000001</v>
      </c>
      <c r="L114" s="179">
        <f>K114*G114+K114</f>
        <v>72.879487499999996</v>
      </c>
      <c r="M114" s="178">
        <f>K114*E114</f>
        <v>0</v>
      </c>
      <c r="N114" s="178">
        <f>L114*E114</f>
        <v>0</v>
      </c>
      <c r="O114" s="139"/>
      <c r="P114" s="182"/>
      <c r="Q114" s="182"/>
      <c r="R114" s="188">
        <f>PROMO!C197</f>
        <v>89.01</v>
      </c>
      <c r="S114" s="188">
        <f>R114+R114*G114</f>
        <v>97.688475000000011</v>
      </c>
      <c r="T114" s="188">
        <f>E114*S114</f>
        <v>0</v>
      </c>
      <c r="U114" s="199">
        <f>R114*5%</f>
        <v>4.4505000000000008</v>
      </c>
      <c r="V114" s="188">
        <f>R114-U114</f>
        <v>84.5595</v>
      </c>
      <c r="W114" s="199">
        <f t="shared" si="131"/>
        <v>4.8844237500000007</v>
      </c>
      <c r="X114" s="188">
        <f>S114-W114</f>
        <v>92.804051250000015</v>
      </c>
      <c r="Y114" s="182">
        <f>X114*E114</f>
        <v>0</v>
      </c>
      <c r="Z114" s="182"/>
      <c r="AA114" s="182"/>
      <c r="AB114" s="182">
        <f>S114*E114</f>
        <v>0</v>
      </c>
      <c r="AC114" s="178">
        <f>X114*E114</f>
        <v>0</v>
      </c>
      <c r="AD114" s="197"/>
      <c r="AE114" s="133"/>
      <c r="AF114" s="133"/>
      <c r="AG114" s="133"/>
      <c r="AH114" s="133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  <c r="GF114" s="28"/>
      <c r="GG114" s="28"/>
      <c r="GH114" s="28"/>
      <c r="GI114" s="28"/>
      <c r="GJ114" s="28"/>
      <c r="GK114" s="28"/>
      <c r="GL114" s="28"/>
      <c r="GM114" s="28"/>
      <c r="GN114" s="28"/>
      <c r="GO114" s="28"/>
      <c r="GP114" s="28"/>
      <c r="GQ114" s="28"/>
      <c r="GR114" s="28"/>
      <c r="GS114" s="28"/>
      <c r="GT114" s="28"/>
      <c r="GU114" s="28"/>
      <c r="GV114" s="28"/>
      <c r="GW114" s="28"/>
      <c r="GX114" s="28"/>
      <c r="GY114" s="28"/>
      <c r="GZ114" s="28"/>
      <c r="HA114" s="28"/>
      <c r="HB114" s="28"/>
      <c r="HC114" s="28"/>
      <c r="HD114" s="28"/>
      <c r="HE114" s="28"/>
      <c r="HF114" s="28"/>
      <c r="HG114" s="28"/>
      <c r="HH114" s="28"/>
      <c r="HI114" s="28"/>
      <c r="HJ114" s="28"/>
      <c r="HK114" s="28"/>
      <c r="HL114" s="28"/>
      <c r="HM114" s="28"/>
      <c r="HN114" s="28"/>
      <c r="HO114" s="28"/>
      <c r="HP114" s="28"/>
      <c r="HQ114" s="28"/>
      <c r="HR114" s="28"/>
      <c r="HS114" s="28"/>
      <c r="HT114" s="28"/>
      <c r="HU114" s="28"/>
      <c r="HV114" s="28"/>
      <c r="HW114" s="28"/>
      <c r="HX114" s="28"/>
      <c r="HY114" s="28"/>
      <c r="HZ114" s="28"/>
      <c r="IA114" s="28"/>
      <c r="IB114" s="28"/>
      <c r="IC114" s="28"/>
      <c r="ID114" s="28"/>
      <c r="IE114" s="28"/>
      <c r="IF114" s="28"/>
      <c r="IG114" s="28"/>
      <c r="IH114" s="28"/>
      <c r="II114" s="28"/>
      <c r="IJ114" s="28"/>
      <c r="IK114" s="28"/>
      <c r="IL114" s="28"/>
      <c r="IM114" s="28"/>
      <c r="IN114" s="28"/>
      <c r="IO114" s="28"/>
      <c r="IP114" s="28"/>
      <c r="IQ114" s="28"/>
      <c r="IR114" s="28"/>
      <c r="IS114" s="28"/>
      <c r="IT114" s="28"/>
      <c r="IU114" s="28"/>
      <c r="IV114" s="28"/>
      <c r="IW114" s="28"/>
      <c r="IX114" s="28"/>
      <c r="IY114" s="28"/>
      <c r="IZ114" s="28"/>
      <c r="JA114" s="28"/>
      <c r="JB114" s="28"/>
      <c r="JC114" s="28"/>
      <c r="JD114" s="28"/>
      <c r="JE114" s="28"/>
      <c r="JF114" s="28"/>
      <c r="JG114" s="28"/>
      <c r="JH114" s="28"/>
      <c r="JI114" s="28"/>
      <c r="JJ114" s="28"/>
      <c r="JK114" s="28"/>
      <c r="JL114" s="28"/>
      <c r="JM114" s="28"/>
      <c r="JN114" s="28"/>
      <c r="JO114" s="28"/>
      <c r="JP114" s="28"/>
      <c r="JQ114" s="28"/>
      <c r="JR114" s="28"/>
      <c r="JS114" s="28"/>
      <c r="JT114" s="28"/>
      <c r="JU114" s="28"/>
      <c r="JV114" s="28"/>
      <c r="JW114" s="28"/>
      <c r="JX114" s="28"/>
      <c r="JY114" s="28"/>
      <c r="JZ114" s="28"/>
      <c r="KA114" s="28"/>
      <c r="KB114" s="28"/>
      <c r="KC114" s="28"/>
      <c r="KD114" s="28"/>
      <c r="KE114" s="28"/>
      <c r="KF114" s="28"/>
      <c r="KG114" s="28"/>
      <c r="KH114" s="28"/>
      <c r="KI114" s="28"/>
      <c r="KJ114" s="28"/>
      <c r="KK114" s="28"/>
      <c r="KL114" s="28"/>
      <c r="KM114" s="28"/>
      <c r="KN114" s="28"/>
      <c r="KO114" s="28"/>
      <c r="KP114" s="28"/>
      <c r="KQ114" s="28"/>
      <c r="KR114" s="28"/>
      <c r="KS114" s="28"/>
      <c r="KT114" s="28"/>
      <c r="KU114" s="28"/>
      <c r="KV114" s="28"/>
      <c r="KW114" s="28"/>
      <c r="KX114" s="28"/>
      <c r="KY114" s="28"/>
      <c r="KZ114" s="28"/>
      <c r="LA114" s="28"/>
      <c r="LB114" s="28"/>
      <c r="LC114" s="28"/>
      <c r="LD114" s="28"/>
      <c r="LE114" s="28"/>
      <c r="LF114" s="28"/>
      <c r="LG114" s="28"/>
      <c r="LH114" s="28"/>
      <c r="LI114" s="28"/>
      <c r="LJ114" s="28"/>
      <c r="LK114" s="28"/>
      <c r="LL114" s="28"/>
      <c r="LM114" s="28"/>
      <c r="LN114" s="28"/>
      <c r="LO114" s="28"/>
      <c r="LP114" s="28"/>
      <c r="LQ114" s="28"/>
      <c r="LR114" s="28"/>
      <c r="LS114" s="28"/>
      <c r="LT114" s="28"/>
      <c r="LU114" s="28"/>
      <c r="LV114" s="28"/>
      <c r="LW114" s="28"/>
      <c r="LX114" s="28"/>
      <c r="LY114" s="28"/>
      <c r="LZ114" s="28"/>
      <c r="MA114" s="28"/>
      <c r="MB114" s="28"/>
      <c r="MC114" s="28"/>
      <c r="MD114" s="28"/>
      <c r="ME114" s="28"/>
      <c r="MF114" s="28"/>
      <c r="MG114" s="28"/>
      <c r="MH114" s="28"/>
      <c r="MI114" s="28"/>
      <c r="MJ114" s="28"/>
      <c r="MK114" s="28"/>
      <c r="ML114" s="28"/>
      <c r="MM114" s="28"/>
      <c r="MN114" s="28"/>
      <c r="MO114" s="28"/>
      <c r="MP114" s="28"/>
      <c r="MQ114" s="28"/>
      <c r="MR114" s="28"/>
      <c r="MS114" s="28"/>
      <c r="MT114" s="28"/>
      <c r="MU114" s="28"/>
      <c r="MV114" s="28"/>
      <c r="MW114" s="28"/>
      <c r="MX114" s="28"/>
      <c r="MY114" s="28"/>
      <c r="MZ114" s="28"/>
      <c r="NA114" s="28"/>
      <c r="NB114" s="28"/>
      <c r="NC114" s="28"/>
      <c r="ND114" s="28"/>
      <c r="NE114" s="28"/>
      <c r="NF114" s="28"/>
      <c r="NG114" s="28"/>
      <c r="NH114" s="28"/>
      <c r="NI114" s="28"/>
      <c r="NJ114" s="28"/>
      <c r="NK114" s="28"/>
      <c r="NL114" s="28"/>
      <c r="NM114" s="28"/>
      <c r="NN114" s="28"/>
      <c r="NO114" s="28"/>
      <c r="NP114" s="28"/>
      <c r="NQ114" s="28"/>
      <c r="NR114" s="28"/>
      <c r="NS114" s="28"/>
      <c r="NT114" s="28"/>
      <c r="NU114" s="28"/>
      <c r="NV114" s="28"/>
      <c r="NW114" s="28"/>
      <c r="NX114" s="28"/>
      <c r="NY114" s="28"/>
      <c r="NZ114" s="28"/>
      <c r="OA114" s="28"/>
      <c r="OB114" s="28"/>
      <c r="OC114" s="28"/>
      <c r="OD114" s="28"/>
      <c r="OE114" s="28"/>
    </row>
    <row r="115" spans="1:395" ht="15" customHeight="1" x14ac:dyDescent="0.25">
      <c r="A115" s="135"/>
      <c r="B115" s="157" t="s">
        <v>12</v>
      </c>
      <c r="C115" s="158" t="s">
        <v>13</v>
      </c>
      <c r="D115" s="160" t="s">
        <v>554</v>
      </c>
      <c r="E115" s="160" t="s">
        <v>15</v>
      </c>
      <c r="F115" s="161" t="s">
        <v>607</v>
      </c>
      <c r="G115" s="162" t="s">
        <v>500</v>
      </c>
      <c r="H115" s="161" t="s">
        <v>609</v>
      </c>
      <c r="I115" s="161" t="s">
        <v>615</v>
      </c>
      <c r="J115" s="202" t="s">
        <v>16</v>
      </c>
      <c r="K115" s="161" t="s">
        <v>606</v>
      </c>
      <c r="L115" s="162" t="s">
        <v>908</v>
      </c>
      <c r="M115" s="161" t="s">
        <v>615</v>
      </c>
      <c r="N115" s="161" t="s">
        <v>16</v>
      </c>
      <c r="O115" s="140"/>
      <c r="P115" s="161" t="s">
        <v>853</v>
      </c>
      <c r="Q115" s="161" t="s">
        <v>606</v>
      </c>
      <c r="R115" s="162" t="s">
        <v>910</v>
      </c>
      <c r="S115" s="162" t="s">
        <v>891</v>
      </c>
      <c r="T115" s="162" t="s">
        <v>892</v>
      </c>
      <c r="U115" s="163" t="s">
        <v>894</v>
      </c>
      <c r="V115" s="162" t="s">
        <v>870</v>
      </c>
      <c r="W115" s="163" t="s">
        <v>895</v>
      </c>
      <c r="X115" s="162" t="s">
        <v>893</v>
      </c>
      <c r="Y115" s="161" t="s">
        <v>596</v>
      </c>
      <c r="Z115" s="161" t="s">
        <v>861</v>
      </c>
      <c r="AA115" s="161" t="s">
        <v>860</v>
      </c>
      <c r="AB115" s="161" t="s">
        <v>859</v>
      </c>
      <c r="AC115" s="161" t="s">
        <v>858</v>
      </c>
      <c r="AD115" s="161" t="s">
        <v>874</v>
      </c>
      <c r="AE115" s="133"/>
      <c r="AF115" s="133"/>
      <c r="AG115" s="133"/>
      <c r="AH115" s="133"/>
    </row>
    <row r="116" spans="1:395" ht="15" customHeight="1" x14ac:dyDescent="0.25">
      <c r="A116" s="135"/>
      <c r="B116" s="412" t="s">
        <v>114</v>
      </c>
      <c r="C116" s="399" t="s">
        <v>115</v>
      </c>
      <c r="D116" s="399" t="s">
        <v>116</v>
      </c>
      <c r="E116" s="394">
        <v>0</v>
      </c>
      <c r="F116" s="395">
        <f>IF($D$8="A VISTA",Planilha2!B101,Planilha2!B101)</f>
        <v>32.9</v>
      </c>
      <c r="G116" s="396">
        <v>0</v>
      </c>
      <c r="H116" s="395">
        <f>IFERROR(F116*(1+G116),#REF!)</f>
        <v>32.9</v>
      </c>
      <c r="I116" s="395">
        <f t="shared" ref="I116:I125" si="132">F116*E116</f>
        <v>0</v>
      </c>
      <c r="J116" s="397">
        <f t="shared" ref="J116:J125" si="133">SUM(E116*H116)</f>
        <v>0</v>
      </c>
      <c r="K116" s="170">
        <f>Planilha2!C101</f>
        <v>31.254999999999999</v>
      </c>
      <c r="L116" s="171">
        <f t="shared" ref="L116:L125" si="134">K116*G116+K116</f>
        <v>31.254999999999999</v>
      </c>
      <c r="M116" s="170">
        <f t="shared" ref="M116:M125" si="135">K116*E116</f>
        <v>0</v>
      </c>
      <c r="N116" s="170">
        <f t="shared" ref="N116:N125" si="136">L116*E116</f>
        <v>0</v>
      </c>
      <c r="O116" s="140"/>
      <c r="P116" s="170">
        <f t="shared" ref="P116:P122" si="137">H116</f>
        <v>32.9</v>
      </c>
      <c r="Q116" s="170">
        <f t="shared" ref="Q116:Q125" si="138">L116</f>
        <v>31.254999999999999</v>
      </c>
      <c r="R116" s="172">
        <f>F116</f>
        <v>32.9</v>
      </c>
      <c r="S116" s="172">
        <f>H116</f>
        <v>32.9</v>
      </c>
      <c r="T116" s="199">
        <f>J116</f>
        <v>0</v>
      </c>
      <c r="U116" s="199">
        <f t="shared" ref="U116:U125" si="139">R116*5%</f>
        <v>1.645</v>
      </c>
      <c r="V116" s="199">
        <f t="shared" ref="V116:V125" si="140">R116-U116</f>
        <v>31.254999999999999</v>
      </c>
      <c r="W116" s="199">
        <f t="shared" ref="W116:W125" si="141">S116*5%</f>
        <v>1.645</v>
      </c>
      <c r="X116" s="172">
        <f>L116</f>
        <v>31.254999999999999</v>
      </c>
      <c r="Y116" s="170">
        <f t="shared" ref="Y116:Y125" si="142">X116*E116</f>
        <v>0</v>
      </c>
      <c r="Z116" s="170">
        <v>0</v>
      </c>
      <c r="AA116" s="170">
        <f>R116*J116</f>
        <v>0</v>
      </c>
      <c r="AB116" s="170">
        <f t="shared" ref="AB116:AB125" si="143">S116*E116</f>
        <v>0</v>
      </c>
      <c r="AC116" s="170">
        <f t="shared" ref="AC116:AC125" si="144">X116*E116</f>
        <v>0</v>
      </c>
      <c r="AD116" s="173">
        <f t="shared" si="112"/>
        <v>31.254999999999999</v>
      </c>
      <c r="AE116" s="133"/>
      <c r="AF116" s="133"/>
      <c r="AG116" s="133"/>
      <c r="AH116" s="133"/>
    </row>
    <row r="117" spans="1:395" ht="15" customHeight="1" x14ac:dyDescent="0.25">
      <c r="A117" s="135"/>
      <c r="B117" s="412" t="s">
        <v>544</v>
      </c>
      <c r="C117" s="400">
        <v>7898670766431</v>
      </c>
      <c r="D117" s="399" t="s">
        <v>117</v>
      </c>
      <c r="E117" s="394">
        <v>0</v>
      </c>
      <c r="F117" s="395">
        <f>IF($D$8="A VISTA",Planilha2!B102,Planilha2!B102)</f>
        <v>39.9</v>
      </c>
      <c r="G117" s="396">
        <v>0</v>
      </c>
      <c r="H117" s="395">
        <f>IFERROR(F117*(1+G117),#REF!)</f>
        <v>39.9</v>
      </c>
      <c r="I117" s="395">
        <f t="shared" si="132"/>
        <v>0</v>
      </c>
      <c r="J117" s="397">
        <f t="shared" si="133"/>
        <v>0</v>
      </c>
      <c r="K117" s="176">
        <f>Planilha2!C102</f>
        <v>37.905000000000001</v>
      </c>
      <c r="L117" s="171">
        <f t="shared" si="134"/>
        <v>37.905000000000001</v>
      </c>
      <c r="M117" s="176">
        <f t="shared" si="135"/>
        <v>0</v>
      </c>
      <c r="N117" s="176">
        <f t="shared" si="136"/>
        <v>0</v>
      </c>
      <c r="O117" s="140"/>
      <c r="P117" s="170">
        <f t="shared" si="137"/>
        <v>39.9</v>
      </c>
      <c r="Q117" s="170">
        <f t="shared" si="138"/>
        <v>37.905000000000001</v>
      </c>
      <c r="R117" s="172">
        <f>F117</f>
        <v>39.9</v>
      </c>
      <c r="S117" s="172">
        <f>H117</f>
        <v>39.9</v>
      </c>
      <c r="T117" s="199">
        <f>J117</f>
        <v>0</v>
      </c>
      <c r="U117" s="199">
        <f t="shared" si="139"/>
        <v>1.9950000000000001</v>
      </c>
      <c r="V117" s="199">
        <f t="shared" si="140"/>
        <v>37.905000000000001</v>
      </c>
      <c r="W117" s="199">
        <f t="shared" si="141"/>
        <v>1.9950000000000001</v>
      </c>
      <c r="X117" s="172">
        <f>L117</f>
        <v>37.905000000000001</v>
      </c>
      <c r="Y117" s="170">
        <f t="shared" si="142"/>
        <v>0</v>
      </c>
      <c r="Z117" s="170">
        <v>0</v>
      </c>
      <c r="AA117" s="170">
        <f>R117*J117</f>
        <v>0</v>
      </c>
      <c r="AB117" s="170">
        <f t="shared" si="143"/>
        <v>0</v>
      </c>
      <c r="AC117" s="170">
        <f t="shared" si="144"/>
        <v>0</v>
      </c>
      <c r="AD117" s="173">
        <f t="shared" si="112"/>
        <v>37.905000000000001</v>
      </c>
      <c r="AE117" s="133"/>
      <c r="AF117" s="133"/>
      <c r="AG117" s="133"/>
      <c r="AH117" s="133"/>
    </row>
    <row r="118" spans="1:395" ht="15" customHeight="1" x14ac:dyDescent="0.25">
      <c r="A118" s="135"/>
      <c r="B118" s="412" t="s">
        <v>545</v>
      </c>
      <c r="C118" s="400">
        <v>7898670766448</v>
      </c>
      <c r="D118" s="399" t="s">
        <v>118</v>
      </c>
      <c r="E118" s="394">
        <v>0</v>
      </c>
      <c r="F118" s="395">
        <f>IF($D$8="A VISTA",Planilha2!B103,Planilha2!B103)</f>
        <v>44.9</v>
      </c>
      <c r="G118" s="396">
        <v>0</v>
      </c>
      <c r="H118" s="395">
        <f>IFERROR(F118*(1+G118),#REF!)</f>
        <v>44.9</v>
      </c>
      <c r="I118" s="395">
        <f t="shared" si="132"/>
        <v>0</v>
      </c>
      <c r="J118" s="397">
        <f t="shared" si="133"/>
        <v>0</v>
      </c>
      <c r="K118" s="176">
        <f>Planilha2!C103</f>
        <v>42.655000000000001</v>
      </c>
      <c r="L118" s="171">
        <f t="shared" si="134"/>
        <v>42.655000000000001</v>
      </c>
      <c r="M118" s="176">
        <f t="shared" si="135"/>
        <v>0</v>
      </c>
      <c r="N118" s="176">
        <f t="shared" si="136"/>
        <v>0</v>
      </c>
      <c r="O118" s="140"/>
      <c r="P118" s="170">
        <f t="shared" si="137"/>
        <v>44.9</v>
      </c>
      <c r="Q118" s="170">
        <f t="shared" si="138"/>
        <v>42.655000000000001</v>
      </c>
      <c r="R118" s="172">
        <f>F118</f>
        <v>44.9</v>
      </c>
      <c r="S118" s="172">
        <f>H118</f>
        <v>44.9</v>
      </c>
      <c r="T118" s="199">
        <f>J118</f>
        <v>0</v>
      </c>
      <c r="U118" s="199">
        <f t="shared" si="139"/>
        <v>2.2450000000000001</v>
      </c>
      <c r="V118" s="199">
        <f t="shared" si="140"/>
        <v>42.655000000000001</v>
      </c>
      <c r="W118" s="199">
        <f t="shared" si="141"/>
        <v>2.2450000000000001</v>
      </c>
      <c r="X118" s="172">
        <f>L118</f>
        <v>42.655000000000001</v>
      </c>
      <c r="Y118" s="170">
        <f t="shared" si="142"/>
        <v>0</v>
      </c>
      <c r="Z118" s="170">
        <v>0</v>
      </c>
      <c r="AA118" s="170">
        <f>R118*J118</f>
        <v>0</v>
      </c>
      <c r="AB118" s="170">
        <f t="shared" si="143"/>
        <v>0</v>
      </c>
      <c r="AC118" s="170">
        <f t="shared" si="144"/>
        <v>0</v>
      </c>
      <c r="AD118" s="173">
        <f t="shared" si="112"/>
        <v>42.655000000000001</v>
      </c>
      <c r="AE118" s="133"/>
      <c r="AF118" s="133"/>
      <c r="AG118" s="133"/>
      <c r="AH118" s="133"/>
    </row>
    <row r="119" spans="1:395" s="98" customFormat="1" ht="15" customHeight="1" x14ac:dyDescent="0.25">
      <c r="A119" s="135"/>
      <c r="B119" s="412" t="s">
        <v>119</v>
      </c>
      <c r="C119" s="399" t="s">
        <v>120</v>
      </c>
      <c r="D119" s="399" t="s">
        <v>121</v>
      </c>
      <c r="E119" s="394">
        <v>0</v>
      </c>
      <c r="F119" s="395">
        <f>IF($D$8="A VISTA",Planilha2!B104,Planilha2!B104)</f>
        <v>26.9</v>
      </c>
      <c r="G119" s="396">
        <v>0</v>
      </c>
      <c r="H119" s="395">
        <f>IFERROR(F119*(1+G119),#REF!)</f>
        <v>26.9</v>
      </c>
      <c r="I119" s="395">
        <f t="shared" si="132"/>
        <v>0</v>
      </c>
      <c r="J119" s="397">
        <f t="shared" si="133"/>
        <v>0</v>
      </c>
      <c r="K119" s="178">
        <f>Planilha2!C104</f>
        <v>25.555</v>
      </c>
      <c r="L119" s="179">
        <f t="shared" si="134"/>
        <v>25.555</v>
      </c>
      <c r="M119" s="178">
        <f t="shared" si="135"/>
        <v>0</v>
      </c>
      <c r="N119" s="178">
        <f t="shared" si="136"/>
        <v>0</v>
      </c>
      <c r="O119" s="139"/>
      <c r="P119" s="182">
        <f t="shared" si="137"/>
        <v>26.9</v>
      </c>
      <c r="Q119" s="182">
        <f t="shared" si="138"/>
        <v>25.555</v>
      </c>
      <c r="R119" s="188">
        <f>PROMO!C85</f>
        <v>34.209000000000003</v>
      </c>
      <c r="S119" s="188">
        <f>R119+R119*G119</f>
        <v>34.209000000000003</v>
      </c>
      <c r="T119" s="188">
        <f t="shared" ref="T119:T125" si="145">E119*S119</f>
        <v>0</v>
      </c>
      <c r="U119" s="199">
        <f t="shared" si="139"/>
        <v>1.7104500000000002</v>
      </c>
      <c r="V119" s="188">
        <f t="shared" si="140"/>
        <v>32.498550000000002</v>
      </c>
      <c r="W119" s="199">
        <f t="shared" si="141"/>
        <v>1.7104500000000002</v>
      </c>
      <c r="X119" s="188">
        <f>S119-W119</f>
        <v>32.498550000000002</v>
      </c>
      <c r="Y119" s="182">
        <f t="shared" si="142"/>
        <v>0</v>
      </c>
      <c r="Z119" s="182">
        <f>S119*E119</f>
        <v>0</v>
      </c>
      <c r="AA119" s="182">
        <f>Z119*5%</f>
        <v>0</v>
      </c>
      <c r="AB119" s="182">
        <f t="shared" si="143"/>
        <v>0</v>
      </c>
      <c r="AC119" s="178">
        <f t="shared" si="144"/>
        <v>0</v>
      </c>
      <c r="AD119" s="197">
        <f t="shared" si="112"/>
        <v>32.498550000000002</v>
      </c>
      <c r="AE119" s="133"/>
      <c r="AF119" s="133"/>
      <c r="AG119" s="133"/>
      <c r="AH119" s="133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28"/>
      <c r="HB119" s="28"/>
      <c r="HC119" s="28"/>
      <c r="HD119" s="28"/>
      <c r="HE119" s="28"/>
      <c r="HF119" s="28"/>
      <c r="HG119" s="28"/>
      <c r="HH119" s="28"/>
      <c r="HI119" s="28"/>
      <c r="HJ119" s="28"/>
      <c r="HK119" s="28"/>
      <c r="HL119" s="28"/>
      <c r="HM119" s="28"/>
      <c r="HN119" s="28"/>
      <c r="HO119" s="28"/>
      <c r="HP119" s="28"/>
      <c r="HQ119" s="28"/>
      <c r="HR119" s="28"/>
      <c r="HS119" s="28"/>
      <c r="HT119" s="28"/>
      <c r="HU119" s="28"/>
      <c r="HV119" s="28"/>
      <c r="HW119" s="28"/>
      <c r="HX119" s="28"/>
      <c r="HY119" s="28"/>
      <c r="HZ119" s="28"/>
      <c r="IA119" s="28"/>
      <c r="IB119" s="28"/>
      <c r="IC119" s="28"/>
      <c r="ID119" s="28"/>
      <c r="IE119" s="28"/>
      <c r="IF119" s="28"/>
      <c r="IG119" s="28"/>
      <c r="IH119" s="28"/>
      <c r="II119" s="28"/>
      <c r="IJ119" s="28"/>
      <c r="IK119" s="28"/>
      <c r="IL119" s="28"/>
      <c r="IM119" s="28"/>
      <c r="IN119" s="28"/>
      <c r="IO119" s="28"/>
      <c r="IP119" s="28"/>
      <c r="IQ119" s="28"/>
      <c r="IR119" s="28"/>
      <c r="IS119" s="28"/>
      <c r="IT119" s="28"/>
      <c r="IU119" s="28"/>
      <c r="IV119" s="28"/>
      <c r="IW119" s="28"/>
      <c r="IX119" s="28"/>
      <c r="IY119" s="28"/>
      <c r="IZ119" s="28"/>
      <c r="JA119" s="28"/>
      <c r="JB119" s="28"/>
      <c r="JC119" s="28"/>
      <c r="JD119" s="28"/>
      <c r="JE119" s="28"/>
      <c r="JF119" s="28"/>
      <c r="JG119" s="28"/>
      <c r="JH119" s="28"/>
      <c r="JI119" s="28"/>
      <c r="JJ119" s="28"/>
      <c r="JK119" s="28"/>
      <c r="JL119" s="28"/>
      <c r="JM119" s="28"/>
      <c r="JN119" s="28"/>
      <c r="JO119" s="28"/>
      <c r="JP119" s="28"/>
      <c r="JQ119" s="28"/>
      <c r="JR119" s="28"/>
      <c r="JS119" s="28"/>
      <c r="JT119" s="28"/>
      <c r="JU119" s="28"/>
      <c r="JV119" s="28"/>
      <c r="JW119" s="28"/>
      <c r="JX119" s="28"/>
      <c r="JY119" s="28"/>
      <c r="JZ119" s="28"/>
      <c r="KA119" s="28"/>
      <c r="KB119" s="28"/>
      <c r="KC119" s="28"/>
      <c r="KD119" s="28"/>
      <c r="KE119" s="28"/>
      <c r="KF119" s="28"/>
      <c r="KG119" s="28"/>
      <c r="KH119" s="28"/>
      <c r="KI119" s="28"/>
      <c r="KJ119" s="28"/>
      <c r="KK119" s="28"/>
      <c r="KL119" s="28"/>
      <c r="KM119" s="28"/>
      <c r="KN119" s="28"/>
      <c r="KO119" s="28"/>
      <c r="KP119" s="28"/>
      <c r="KQ119" s="28"/>
      <c r="KR119" s="28"/>
      <c r="KS119" s="28"/>
      <c r="KT119" s="28"/>
      <c r="KU119" s="28"/>
      <c r="KV119" s="28"/>
      <c r="KW119" s="28"/>
      <c r="KX119" s="28"/>
      <c r="KY119" s="28"/>
      <c r="KZ119" s="28"/>
      <c r="LA119" s="28"/>
      <c r="LB119" s="28"/>
      <c r="LC119" s="28"/>
      <c r="LD119" s="28"/>
      <c r="LE119" s="28"/>
      <c r="LF119" s="28"/>
      <c r="LG119" s="28"/>
      <c r="LH119" s="28"/>
      <c r="LI119" s="28"/>
      <c r="LJ119" s="28"/>
      <c r="LK119" s="28"/>
      <c r="LL119" s="28"/>
      <c r="LM119" s="28"/>
      <c r="LN119" s="28"/>
      <c r="LO119" s="28"/>
      <c r="LP119" s="28"/>
      <c r="LQ119" s="28"/>
      <c r="LR119" s="28"/>
      <c r="LS119" s="28"/>
      <c r="LT119" s="28"/>
      <c r="LU119" s="28"/>
      <c r="LV119" s="28"/>
      <c r="LW119" s="28"/>
      <c r="LX119" s="28"/>
      <c r="LY119" s="28"/>
      <c r="LZ119" s="28"/>
      <c r="MA119" s="28"/>
      <c r="MB119" s="28"/>
      <c r="MC119" s="28"/>
      <c r="MD119" s="28"/>
      <c r="ME119" s="28"/>
      <c r="MF119" s="28"/>
      <c r="MG119" s="28"/>
      <c r="MH119" s="28"/>
      <c r="MI119" s="28"/>
      <c r="MJ119" s="28"/>
      <c r="MK119" s="28"/>
      <c r="ML119" s="28"/>
      <c r="MM119" s="28"/>
      <c r="MN119" s="28"/>
      <c r="MO119" s="28"/>
      <c r="MP119" s="28"/>
      <c r="MQ119" s="28"/>
      <c r="MR119" s="28"/>
      <c r="MS119" s="28"/>
      <c r="MT119" s="28"/>
      <c r="MU119" s="28"/>
      <c r="MV119" s="28"/>
      <c r="MW119" s="28"/>
      <c r="MX119" s="28"/>
      <c r="MY119" s="28"/>
      <c r="MZ119" s="28"/>
      <c r="NA119" s="28"/>
      <c r="NB119" s="28"/>
      <c r="NC119" s="28"/>
      <c r="ND119" s="28"/>
      <c r="NE119" s="28"/>
      <c r="NF119" s="28"/>
      <c r="NG119" s="28"/>
      <c r="NH119" s="28"/>
      <c r="NI119" s="28"/>
      <c r="NJ119" s="28"/>
      <c r="NK119" s="28"/>
      <c r="NL119" s="28"/>
      <c r="NM119" s="28"/>
      <c r="NN119" s="28"/>
      <c r="NO119" s="28"/>
      <c r="NP119" s="28"/>
      <c r="NQ119" s="28"/>
      <c r="NR119" s="28"/>
      <c r="NS119" s="28"/>
      <c r="NT119" s="28"/>
      <c r="NU119" s="28"/>
      <c r="NV119" s="28"/>
      <c r="NW119" s="28"/>
      <c r="NX119" s="28"/>
      <c r="NY119" s="28"/>
      <c r="NZ119" s="28"/>
      <c r="OA119" s="28"/>
      <c r="OB119" s="28"/>
      <c r="OC119" s="28"/>
      <c r="OD119" s="28"/>
      <c r="OE119" s="28"/>
    </row>
    <row r="120" spans="1:395" s="98" customFormat="1" ht="15" customHeight="1" x14ac:dyDescent="0.25">
      <c r="A120" s="135"/>
      <c r="B120" s="320" t="s">
        <v>122</v>
      </c>
      <c r="C120" s="321" t="s">
        <v>123</v>
      </c>
      <c r="D120" s="321" t="s">
        <v>235</v>
      </c>
      <c r="E120" s="300">
        <v>0</v>
      </c>
      <c r="F120" s="301">
        <f>IF($D$8="A VISTA",Planilha2!B105,Planilha2!B105)</f>
        <v>28.9</v>
      </c>
      <c r="G120" s="302">
        <v>0</v>
      </c>
      <c r="H120" s="301">
        <f>IFERROR(F120*(1+G120),#REF!)</f>
        <v>28.9</v>
      </c>
      <c r="I120" s="204">
        <f t="shared" si="132"/>
        <v>0</v>
      </c>
      <c r="J120" s="303">
        <f t="shared" si="133"/>
        <v>0</v>
      </c>
      <c r="K120" s="178">
        <f>Planilha2!C105</f>
        <v>27.454999999999998</v>
      </c>
      <c r="L120" s="179">
        <f t="shared" si="134"/>
        <v>27.454999999999998</v>
      </c>
      <c r="M120" s="178">
        <f t="shared" si="135"/>
        <v>0</v>
      </c>
      <c r="N120" s="178">
        <f t="shared" si="136"/>
        <v>0</v>
      </c>
      <c r="O120" s="139"/>
      <c r="P120" s="182">
        <f t="shared" si="137"/>
        <v>28.9</v>
      </c>
      <c r="Q120" s="182">
        <f t="shared" si="138"/>
        <v>27.454999999999998</v>
      </c>
      <c r="R120" s="188">
        <f>PROMO!C86</f>
        <v>33.596849999999996</v>
      </c>
      <c r="S120" s="188">
        <f>R120+R120*G120</f>
        <v>33.596849999999996</v>
      </c>
      <c r="T120" s="188">
        <f t="shared" si="145"/>
        <v>0</v>
      </c>
      <c r="U120" s="199">
        <f t="shared" si="139"/>
        <v>1.6798424999999999</v>
      </c>
      <c r="V120" s="188">
        <f t="shared" si="140"/>
        <v>31.917007499999997</v>
      </c>
      <c r="W120" s="199">
        <f t="shared" si="141"/>
        <v>1.6798424999999999</v>
      </c>
      <c r="X120" s="188">
        <f>S120-W120</f>
        <v>31.917007499999997</v>
      </c>
      <c r="Y120" s="182">
        <f t="shared" si="142"/>
        <v>0</v>
      </c>
      <c r="Z120" s="182">
        <f>S120*E120</f>
        <v>0</v>
      </c>
      <c r="AA120" s="182">
        <f>Z120*5%</f>
        <v>0</v>
      </c>
      <c r="AB120" s="182">
        <f t="shared" si="143"/>
        <v>0</v>
      </c>
      <c r="AC120" s="178">
        <f t="shared" si="144"/>
        <v>0</v>
      </c>
      <c r="AD120" s="197">
        <f t="shared" si="112"/>
        <v>31.917007499999997</v>
      </c>
      <c r="AE120" s="133"/>
      <c r="AF120" s="133"/>
      <c r="AG120" s="133"/>
      <c r="AH120" s="133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  <c r="GF120" s="28"/>
      <c r="GG120" s="28"/>
      <c r="GH120" s="28"/>
      <c r="GI120" s="28"/>
      <c r="GJ120" s="28"/>
      <c r="GK120" s="28"/>
      <c r="GL120" s="28"/>
      <c r="GM120" s="28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28"/>
      <c r="HB120" s="28"/>
      <c r="HC120" s="28"/>
      <c r="HD120" s="28"/>
      <c r="HE120" s="28"/>
      <c r="HF120" s="28"/>
      <c r="HG120" s="28"/>
      <c r="HH120" s="28"/>
      <c r="HI120" s="28"/>
      <c r="HJ120" s="28"/>
      <c r="HK120" s="28"/>
      <c r="HL120" s="28"/>
      <c r="HM120" s="28"/>
      <c r="HN120" s="28"/>
      <c r="HO120" s="28"/>
      <c r="HP120" s="28"/>
      <c r="HQ120" s="28"/>
      <c r="HR120" s="28"/>
      <c r="HS120" s="28"/>
      <c r="HT120" s="28"/>
      <c r="HU120" s="28"/>
      <c r="HV120" s="28"/>
      <c r="HW120" s="28"/>
      <c r="HX120" s="28"/>
      <c r="HY120" s="28"/>
      <c r="HZ120" s="28"/>
      <c r="IA120" s="28"/>
      <c r="IB120" s="28"/>
      <c r="IC120" s="28"/>
      <c r="ID120" s="28"/>
      <c r="IE120" s="28"/>
      <c r="IF120" s="28"/>
      <c r="IG120" s="28"/>
      <c r="IH120" s="28"/>
      <c r="II120" s="28"/>
      <c r="IJ120" s="28"/>
      <c r="IK120" s="28"/>
      <c r="IL120" s="28"/>
      <c r="IM120" s="28"/>
      <c r="IN120" s="28"/>
      <c r="IO120" s="28"/>
      <c r="IP120" s="28"/>
      <c r="IQ120" s="28"/>
      <c r="IR120" s="28"/>
      <c r="IS120" s="28"/>
      <c r="IT120" s="28"/>
      <c r="IU120" s="28"/>
      <c r="IV120" s="28"/>
      <c r="IW120" s="28"/>
      <c r="IX120" s="28"/>
      <c r="IY120" s="28"/>
      <c r="IZ120" s="28"/>
      <c r="JA120" s="28"/>
      <c r="JB120" s="28"/>
      <c r="JC120" s="28"/>
      <c r="JD120" s="28"/>
      <c r="JE120" s="28"/>
      <c r="JF120" s="28"/>
      <c r="JG120" s="28"/>
      <c r="JH120" s="28"/>
      <c r="JI120" s="28"/>
      <c r="JJ120" s="28"/>
      <c r="JK120" s="28"/>
      <c r="JL120" s="28"/>
      <c r="JM120" s="28"/>
      <c r="JN120" s="28"/>
      <c r="JO120" s="28"/>
      <c r="JP120" s="28"/>
      <c r="JQ120" s="28"/>
      <c r="JR120" s="28"/>
      <c r="JS120" s="28"/>
      <c r="JT120" s="28"/>
      <c r="JU120" s="28"/>
      <c r="JV120" s="28"/>
      <c r="JW120" s="28"/>
      <c r="JX120" s="28"/>
      <c r="JY120" s="28"/>
      <c r="JZ120" s="28"/>
      <c r="KA120" s="28"/>
      <c r="KB120" s="28"/>
      <c r="KC120" s="28"/>
      <c r="KD120" s="28"/>
      <c r="KE120" s="28"/>
      <c r="KF120" s="28"/>
      <c r="KG120" s="28"/>
      <c r="KH120" s="28"/>
      <c r="KI120" s="28"/>
      <c r="KJ120" s="28"/>
      <c r="KK120" s="28"/>
      <c r="KL120" s="28"/>
      <c r="KM120" s="28"/>
      <c r="KN120" s="28"/>
      <c r="KO120" s="28"/>
      <c r="KP120" s="28"/>
      <c r="KQ120" s="28"/>
      <c r="KR120" s="28"/>
      <c r="KS120" s="28"/>
      <c r="KT120" s="28"/>
      <c r="KU120" s="28"/>
      <c r="KV120" s="28"/>
      <c r="KW120" s="28"/>
      <c r="KX120" s="28"/>
      <c r="KY120" s="28"/>
      <c r="KZ120" s="28"/>
      <c r="LA120" s="28"/>
      <c r="LB120" s="28"/>
      <c r="LC120" s="28"/>
      <c r="LD120" s="28"/>
      <c r="LE120" s="28"/>
      <c r="LF120" s="28"/>
      <c r="LG120" s="28"/>
      <c r="LH120" s="28"/>
      <c r="LI120" s="28"/>
      <c r="LJ120" s="28"/>
      <c r="LK120" s="28"/>
      <c r="LL120" s="28"/>
      <c r="LM120" s="28"/>
      <c r="LN120" s="28"/>
      <c r="LO120" s="28"/>
      <c r="LP120" s="28"/>
      <c r="LQ120" s="28"/>
      <c r="LR120" s="28"/>
      <c r="LS120" s="28"/>
      <c r="LT120" s="28"/>
      <c r="LU120" s="28"/>
      <c r="LV120" s="28"/>
      <c r="LW120" s="28"/>
      <c r="LX120" s="28"/>
      <c r="LY120" s="28"/>
      <c r="LZ120" s="28"/>
      <c r="MA120" s="28"/>
      <c r="MB120" s="28"/>
      <c r="MC120" s="28"/>
      <c r="MD120" s="28"/>
      <c r="ME120" s="28"/>
      <c r="MF120" s="28"/>
      <c r="MG120" s="28"/>
      <c r="MH120" s="28"/>
      <c r="MI120" s="28"/>
      <c r="MJ120" s="28"/>
      <c r="MK120" s="28"/>
      <c r="ML120" s="28"/>
      <c r="MM120" s="28"/>
      <c r="MN120" s="28"/>
      <c r="MO120" s="28"/>
      <c r="MP120" s="28"/>
      <c r="MQ120" s="28"/>
      <c r="MR120" s="28"/>
      <c r="MS120" s="28"/>
      <c r="MT120" s="28"/>
      <c r="MU120" s="28"/>
      <c r="MV120" s="28"/>
      <c r="MW120" s="28"/>
      <c r="MX120" s="28"/>
      <c r="MY120" s="28"/>
      <c r="MZ120" s="28"/>
      <c r="NA120" s="28"/>
      <c r="NB120" s="28"/>
      <c r="NC120" s="28"/>
      <c r="ND120" s="28"/>
      <c r="NE120" s="28"/>
      <c r="NF120" s="28"/>
      <c r="NG120" s="28"/>
      <c r="NH120" s="28"/>
      <c r="NI120" s="28"/>
      <c r="NJ120" s="28"/>
      <c r="NK120" s="28"/>
      <c r="NL120" s="28"/>
      <c r="NM120" s="28"/>
      <c r="NN120" s="28"/>
      <c r="NO120" s="28"/>
      <c r="NP120" s="28"/>
      <c r="NQ120" s="28"/>
      <c r="NR120" s="28"/>
      <c r="NS120" s="28"/>
      <c r="NT120" s="28"/>
      <c r="NU120" s="28"/>
      <c r="NV120" s="28"/>
      <c r="NW120" s="28"/>
      <c r="NX120" s="28"/>
      <c r="NY120" s="28"/>
      <c r="NZ120" s="28"/>
      <c r="OA120" s="28"/>
      <c r="OB120" s="28"/>
      <c r="OC120" s="28"/>
      <c r="OD120" s="28"/>
      <c r="OE120" s="28"/>
    </row>
    <row r="121" spans="1:395" ht="15" customHeight="1" x14ac:dyDescent="0.25">
      <c r="A121" s="135"/>
      <c r="B121" s="321" t="s">
        <v>550</v>
      </c>
      <c r="C121" s="325">
        <v>7898670766486</v>
      </c>
      <c r="D121" s="326" t="s">
        <v>1244</v>
      </c>
      <c r="E121" s="300">
        <v>0</v>
      </c>
      <c r="F121" s="301">
        <f>IF($D$8="A VISTA",Planilha2!B106,Planilha2!B106)</f>
        <v>42.768000000000001</v>
      </c>
      <c r="G121" s="302">
        <v>0</v>
      </c>
      <c r="H121" s="301">
        <f>IFERROR(F121*(1+G121),#REF!)</f>
        <v>42.768000000000001</v>
      </c>
      <c r="I121" s="204">
        <f t="shared" si="132"/>
        <v>0</v>
      </c>
      <c r="J121" s="303">
        <f t="shared" si="133"/>
        <v>0</v>
      </c>
      <c r="K121" s="178">
        <f>Planilha2!C106</f>
        <v>40.629600000000003</v>
      </c>
      <c r="L121" s="179">
        <f t="shared" si="134"/>
        <v>40.629600000000003</v>
      </c>
      <c r="M121" s="178">
        <f t="shared" si="135"/>
        <v>0</v>
      </c>
      <c r="N121" s="178">
        <f t="shared" si="136"/>
        <v>0</v>
      </c>
      <c r="O121" s="139"/>
      <c r="P121" s="182">
        <f t="shared" si="137"/>
        <v>42.768000000000001</v>
      </c>
      <c r="Q121" s="182">
        <f t="shared" si="138"/>
        <v>40.629600000000003</v>
      </c>
      <c r="R121" s="188">
        <f>PROMO!C187</f>
        <v>42.768000000000001</v>
      </c>
      <c r="S121" s="188">
        <f>H121</f>
        <v>42.768000000000001</v>
      </c>
      <c r="T121" s="188">
        <f t="shared" si="145"/>
        <v>0</v>
      </c>
      <c r="U121" s="199">
        <f t="shared" si="139"/>
        <v>2.1384000000000003</v>
      </c>
      <c r="V121" s="188">
        <f t="shared" si="140"/>
        <v>40.629600000000003</v>
      </c>
      <c r="W121" s="199">
        <f t="shared" si="141"/>
        <v>2.1384000000000003</v>
      </c>
      <c r="X121" s="188">
        <f>L121</f>
        <v>40.629600000000003</v>
      </c>
      <c r="Y121" s="182">
        <f t="shared" si="142"/>
        <v>0</v>
      </c>
      <c r="Z121" s="182">
        <v>0</v>
      </c>
      <c r="AA121" s="182">
        <f>R121*J121</f>
        <v>0</v>
      </c>
      <c r="AB121" s="182">
        <f t="shared" si="143"/>
        <v>0</v>
      </c>
      <c r="AC121" s="178">
        <f t="shared" si="144"/>
        <v>0</v>
      </c>
      <c r="AD121" s="197">
        <f t="shared" si="112"/>
        <v>40.629600000000003</v>
      </c>
      <c r="AE121" s="133"/>
      <c r="AF121" s="133"/>
      <c r="AG121" s="133"/>
      <c r="AH121" s="133"/>
    </row>
    <row r="122" spans="1:395" ht="15" customHeight="1" x14ac:dyDescent="0.25">
      <c r="A122" s="135"/>
      <c r="B122" s="321" t="s">
        <v>551</v>
      </c>
      <c r="C122" s="327">
        <v>7898670766493</v>
      </c>
      <c r="D122" s="326" t="s">
        <v>1245</v>
      </c>
      <c r="E122" s="300">
        <v>0</v>
      </c>
      <c r="F122" s="301">
        <f>IF($D$8="A VISTA",Planilha2!B107,Planilha2!B107)</f>
        <v>44.71200000000001</v>
      </c>
      <c r="G122" s="302">
        <v>0</v>
      </c>
      <c r="H122" s="301">
        <f>IFERROR(F122*(1+G122),#REF!)</f>
        <v>44.71200000000001</v>
      </c>
      <c r="I122" s="204">
        <f t="shared" si="132"/>
        <v>0</v>
      </c>
      <c r="J122" s="303">
        <f t="shared" si="133"/>
        <v>0</v>
      </c>
      <c r="K122" s="178">
        <f>Planilha2!C107</f>
        <v>42.476400000000012</v>
      </c>
      <c r="L122" s="179">
        <f t="shared" si="134"/>
        <v>42.476400000000012</v>
      </c>
      <c r="M122" s="178">
        <f t="shared" si="135"/>
        <v>0</v>
      </c>
      <c r="N122" s="178">
        <f t="shared" si="136"/>
        <v>0</v>
      </c>
      <c r="O122" s="139"/>
      <c r="P122" s="182">
        <f t="shared" si="137"/>
        <v>44.71200000000001</v>
      </c>
      <c r="Q122" s="182">
        <f t="shared" si="138"/>
        <v>42.476400000000012</v>
      </c>
      <c r="R122" s="188">
        <f>PROMO!C188</f>
        <v>44.71200000000001</v>
      </c>
      <c r="S122" s="188">
        <f>H122</f>
        <v>44.71200000000001</v>
      </c>
      <c r="T122" s="188">
        <f t="shared" si="145"/>
        <v>0</v>
      </c>
      <c r="U122" s="199">
        <f t="shared" si="139"/>
        <v>2.2356000000000007</v>
      </c>
      <c r="V122" s="188">
        <f t="shared" si="140"/>
        <v>42.476400000000012</v>
      </c>
      <c r="W122" s="199">
        <f t="shared" si="141"/>
        <v>2.2356000000000007</v>
      </c>
      <c r="X122" s="188">
        <f>L122</f>
        <v>42.476400000000012</v>
      </c>
      <c r="Y122" s="182">
        <f t="shared" si="142"/>
        <v>0</v>
      </c>
      <c r="Z122" s="182">
        <v>0</v>
      </c>
      <c r="AA122" s="182">
        <f>R122*J122</f>
        <v>0</v>
      </c>
      <c r="AB122" s="182">
        <f t="shared" si="143"/>
        <v>0</v>
      </c>
      <c r="AC122" s="178">
        <f t="shared" si="144"/>
        <v>0</v>
      </c>
      <c r="AD122" s="197">
        <f t="shared" si="112"/>
        <v>42.476400000000012</v>
      </c>
      <c r="AE122" s="133"/>
      <c r="AF122" s="133"/>
      <c r="AG122" s="133"/>
      <c r="AH122" s="133"/>
    </row>
    <row r="123" spans="1:395" ht="15" customHeight="1" x14ac:dyDescent="0.25">
      <c r="A123" s="135"/>
      <c r="B123" s="328" t="s">
        <v>846</v>
      </c>
      <c r="C123" s="329">
        <v>7898670767070</v>
      </c>
      <c r="D123" s="326" t="s">
        <v>1246</v>
      </c>
      <c r="E123" s="300">
        <v>0</v>
      </c>
      <c r="F123" s="301">
        <f>IF($D$8="A VISTA",Planilha2!B108,Planilha2!B108)</f>
        <v>44.91</v>
      </c>
      <c r="G123" s="302">
        <v>0</v>
      </c>
      <c r="H123" s="301">
        <f>IFERROR(F123*(1+G123),#REF!)</f>
        <v>44.91</v>
      </c>
      <c r="I123" s="204">
        <f t="shared" si="132"/>
        <v>0</v>
      </c>
      <c r="J123" s="303">
        <f t="shared" si="133"/>
        <v>0</v>
      </c>
      <c r="K123" s="178">
        <f>Planilha2!C108</f>
        <v>42.664499999999997</v>
      </c>
      <c r="L123" s="179">
        <f t="shared" si="134"/>
        <v>42.664499999999997</v>
      </c>
      <c r="M123" s="178">
        <f t="shared" si="135"/>
        <v>0</v>
      </c>
      <c r="N123" s="178">
        <f t="shared" si="136"/>
        <v>0</v>
      </c>
      <c r="O123" s="139"/>
      <c r="P123" s="182"/>
      <c r="Q123" s="182"/>
      <c r="R123" s="188">
        <f>PROMO!C193</f>
        <v>44.91</v>
      </c>
      <c r="S123" s="188">
        <f>H123</f>
        <v>44.91</v>
      </c>
      <c r="T123" s="188">
        <f t="shared" si="145"/>
        <v>0</v>
      </c>
      <c r="U123" s="199">
        <f t="shared" si="139"/>
        <v>2.2454999999999998</v>
      </c>
      <c r="V123" s="188">
        <f t="shared" si="140"/>
        <v>42.664499999999997</v>
      </c>
      <c r="W123" s="199">
        <f t="shared" si="141"/>
        <v>2.2454999999999998</v>
      </c>
      <c r="X123" s="188">
        <f>L123</f>
        <v>42.664499999999997</v>
      </c>
      <c r="Y123" s="182">
        <f t="shared" si="142"/>
        <v>0</v>
      </c>
      <c r="Z123" s="182"/>
      <c r="AA123" s="182"/>
      <c r="AB123" s="182">
        <f t="shared" si="143"/>
        <v>0</v>
      </c>
      <c r="AC123" s="178">
        <f t="shared" si="144"/>
        <v>0</v>
      </c>
      <c r="AD123" s="197"/>
      <c r="AE123" s="133"/>
      <c r="AF123" s="133"/>
      <c r="AG123" s="133"/>
      <c r="AH123" s="133"/>
    </row>
    <row r="124" spans="1:395" ht="15" customHeight="1" x14ac:dyDescent="0.25">
      <c r="A124" s="135"/>
      <c r="B124" s="321" t="s">
        <v>556</v>
      </c>
      <c r="C124" s="325">
        <v>7898670766509</v>
      </c>
      <c r="D124" s="326" t="s">
        <v>1247</v>
      </c>
      <c r="E124" s="300">
        <v>0</v>
      </c>
      <c r="F124" s="301">
        <f>IF($D$8="A VISTA",Planilha2!B109,Planilha2!B109)</f>
        <v>29.99</v>
      </c>
      <c r="G124" s="302">
        <v>0</v>
      </c>
      <c r="H124" s="301">
        <f>IFERROR(F124*(1+G124),#REF!)</f>
        <v>29.99</v>
      </c>
      <c r="I124" s="204">
        <f t="shared" si="132"/>
        <v>0</v>
      </c>
      <c r="J124" s="303">
        <f t="shared" si="133"/>
        <v>0</v>
      </c>
      <c r="K124" s="178">
        <f>Planilha2!C109</f>
        <v>28.490499999999997</v>
      </c>
      <c r="L124" s="179">
        <f t="shared" si="134"/>
        <v>28.490499999999997</v>
      </c>
      <c r="M124" s="178">
        <f t="shared" si="135"/>
        <v>0</v>
      </c>
      <c r="N124" s="178">
        <f t="shared" si="136"/>
        <v>0</v>
      </c>
      <c r="O124" s="139"/>
      <c r="P124" s="182">
        <f>H124</f>
        <v>29.99</v>
      </c>
      <c r="Q124" s="182">
        <f t="shared" si="138"/>
        <v>28.490499999999997</v>
      </c>
      <c r="R124" s="188">
        <f>PROMO!C189</f>
        <v>29.99</v>
      </c>
      <c r="S124" s="188">
        <f>R124+R124*G124</f>
        <v>29.99</v>
      </c>
      <c r="T124" s="188">
        <f t="shared" si="145"/>
        <v>0</v>
      </c>
      <c r="U124" s="199">
        <f t="shared" si="139"/>
        <v>1.4995000000000001</v>
      </c>
      <c r="V124" s="188">
        <f t="shared" si="140"/>
        <v>28.490499999999997</v>
      </c>
      <c r="W124" s="199">
        <f t="shared" si="141"/>
        <v>1.4995000000000001</v>
      </c>
      <c r="X124" s="188">
        <f>S124-W124</f>
        <v>28.490499999999997</v>
      </c>
      <c r="Y124" s="182">
        <f t="shared" si="142"/>
        <v>0</v>
      </c>
      <c r="Z124" s="182">
        <v>0</v>
      </c>
      <c r="AA124" s="182">
        <f>R124*J124</f>
        <v>0</v>
      </c>
      <c r="AB124" s="182">
        <f t="shared" si="143"/>
        <v>0</v>
      </c>
      <c r="AC124" s="178">
        <f t="shared" si="144"/>
        <v>0</v>
      </c>
      <c r="AD124" s="197">
        <f t="shared" si="112"/>
        <v>28.490499999999997</v>
      </c>
      <c r="AE124" s="133"/>
      <c r="AF124" s="133"/>
      <c r="AG124" s="133"/>
      <c r="AH124" s="133"/>
    </row>
    <row r="125" spans="1:395" ht="15" customHeight="1" x14ac:dyDescent="0.25">
      <c r="A125" s="135"/>
      <c r="B125" s="321" t="s">
        <v>557</v>
      </c>
      <c r="C125" s="325">
        <v>7898670766516</v>
      </c>
      <c r="D125" s="326" t="s">
        <v>1248</v>
      </c>
      <c r="E125" s="300">
        <v>0</v>
      </c>
      <c r="F125" s="301">
        <f>IF($D$8="A VISTA",Planilha2!B110,Planilha2!B110)</f>
        <v>29.99</v>
      </c>
      <c r="G125" s="302">
        <v>0</v>
      </c>
      <c r="H125" s="301">
        <f>IFERROR(F125*(1+G125),#REF!)</f>
        <v>29.99</v>
      </c>
      <c r="I125" s="204">
        <f t="shared" si="132"/>
        <v>0</v>
      </c>
      <c r="J125" s="303">
        <f t="shared" si="133"/>
        <v>0</v>
      </c>
      <c r="K125" s="178">
        <f>Planilha2!C110</f>
        <v>28.490499999999997</v>
      </c>
      <c r="L125" s="179">
        <f t="shared" si="134"/>
        <v>28.490499999999997</v>
      </c>
      <c r="M125" s="178">
        <f t="shared" si="135"/>
        <v>0</v>
      </c>
      <c r="N125" s="178">
        <f t="shared" si="136"/>
        <v>0</v>
      </c>
      <c r="O125" s="139"/>
      <c r="P125" s="182">
        <f>H125</f>
        <v>29.99</v>
      </c>
      <c r="Q125" s="182">
        <f t="shared" si="138"/>
        <v>28.490499999999997</v>
      </c>
      <c r="R125" s="188">
        <f>PROMO!C190</f>
        <v>29.99</v>
      </c>
      <c r="S125" s="188">
        <f>R125+R125*G125</f>
        <v>29.99</v>
      </c>
      <c r="T125" s="188">
        <f t="shared" si="145"/>
        <v>0</v>
      </c>
      <c r="U125" s="199">
        <f t="shared" si="139"/>
        <v>1.4995000000000001</v>
      </c>
      <c r="V125" s="188">
        <f t="shared" si="140"/>
        <v>28.490499999999997</v>
      </c>
      <c r="W125" s="199">
        <f t="shared" si="141"/>
        <v>1.4995000000000001</v>
      </c>
      <c r="X125" s="188">
        <f>S125-W125</f>
        <v>28.490499999999997</v>
      </c>
      <c r="Y125" s="182">
        <f t="shared" si="142"/>
        <v>0</v>
      </c>
      <c r="Z125" s="182">
        <v>0</v>
      </c>
      <c r="AA125" s="182">
        <f>R125*J125</f>
        <v>0</v>
      </c>
      <c r="AB125" s="182">
        <f t="shared" si="143"/>
        <v>0</v>
      </c>
      <c r="AC125" s="178">
        <f t="shared" si="144"/>
        <v>0</v>
      </c>
      <c r="AD125" s="197">
        <f t="shared" si="112"/>
        <v>28.490499999999997</v>
      </c>
      <c r="AE125" s="133"/>
      <c r="AF125" s="133"/>
      <c r="AG125" s="133"/>
      <c r="AH125" s="133"/>
    </row>
    <row r="126" spans="1:395" ht="15" customHeight="1" x14ac:dyDescent="0.25">
      <c r="A126" s="135"/>
      <c r="B126" s="157" t="s">
        <v>12</v>
      </c>
      <c r="C126" s="158" t="s">
        <v>13</v>
      </c>
      <c r="D126" s="160" t="s">
        <v>124</v>
      </c>
      <c r="E126" s="160" t="s">
        <v>15</v>
      </c>
      <c r="F126" s="161" t="s">
        <v>607</v>
      </c>
      <c r="G126" s="162" t="s">
        <v>500</v>
      </c>
      <c r="H126" s="161" t="s">
        <v>609</v>
      </c>
      <c r="I126" s="161" t="s">
        <v>615</v>
      </c>
      <c r="J126" s="161" t="s">
        <v>16</v>
      </c>
      <c r="K126" s="161" t="s">
        <v>606</v>
      </c>
      <c r="L126" s="162" t="s">
        <v>908</v>
      </c>
      <c r="M126" s="161" t="s">
        <v>615</v>
      </c>
      <c r="N126" s="161" t="s">
        <v>16</v>
      </c>
      <c r="O126" s="140"/>
      <c r="P126" s="161" t="s">
        <v>853</v>
      </c>
      <c r="Q126" s="161" t="s">
        <v>606</v>
      </c>
      <c r="R126" s="162" t="s">
        <v>910</v>
      </c>
      <c r="S126" s="162" t="s">
        <v>891</v>
      </c>
      <c r="T126" s="162" t="s">
        <v>892</v>
      </c>
      <c r="U126" s="163" t="s">
        <v>894</v>
      </c>
      <c r="V126" s="162" t="s">
        <v>870</v>
      </c>
      <c r="W126" s="163" t="s">
        <v>895</v>
      </c>
      <c r="X126" s="162" t="s">
        <v>893</v>
      </c>
      <c r="Y126" s="161" t="s">
        <v>596</v>
      </c>
      <c r="Z126" s="161" t="s">
        <v>861</v>
      </c>
      <c r="AA126" s="161" t="s">
        <v>860</v>
      </c>
      <c r="AB126" s="161" t="s">
        <v>859</v>
      </c>
      <c r="AC126" s="161" t="s">
        <v>858</v>
      </c>
      <c r="AD126" s="161" t="s">
        <v>874</v>
      </c>
      <c r="AE126" s="133"/>
      <c r="AF126" s="133"/>
      <c r="AG126" s="133"/>
      <c r="AH126" s="133"/>
    </row>
    <row r="127" spans="1:395" s="28" customFormat="1" ht="15" customHeight="1" x14ac:dyDescent="0.25">
      <c r="A127" s="135"/>
      <c r="B127" s="412" t="s">
        <v>1015</v>
      </c>
      <c r="C127" s="399" t="s">
        <v>126</v>
      </c>
      <c r="D127" s="399" t="s">
        <v>251</v>
      </c>
      <c r="E127" s="394">
        <v>0</v>
      </c>
      <c r="F127" s="395">
        <f>IF($D$8="A VISTA",Planilha2!B112,Planilha2!B112)</f>
        <v>39.9</v>
      </c>
      <c r="G127" s="396">
        <v>6.5000000000000002E-2</v>
      </c>
      <c r="H127" s="395">
        <f>IFERROR(F127*(1+G127),#REF!)</f>
        <v>42.493499999999997</v>
      </c>
      <c r="I127" s="395">
        <f>F127*E127</f>
        <v>0</v>
      </c>
      <c r="J127" s="397">
        <f>SUM(E127*H127)</f>
        <v>0</v>
      </c>
      <c r="K127" s="176">
        <f>Planilha2!C112</f>
        <v>37.905000000000001</v>
      </c>
      <c r="L127" s="171">
        <f>K127*G127+K127</f>
        <v>40.368825000000001</v>
      </c>
      <c r="M127" s="176">
        <f>K127*E127</f>
        <v>0</v>
      </c>
      <c r="N127" s="176">
        <f>L127*E127</f>
        <v>0</v>
      </c>
      <c r="O127" s="140"/>
      <c r="P127" s="176">
        <f>H127</f>
        <v>42.493499999999997</v>
      </c>
      <c r="Q127" s="176">
        <f>L127</f>
        <v>40.368825000000001</v>
      </c>
      <c r="R127" s="172">
        <f>F127</f>
        <v>39.9</v>
      </c>
      <c r="S127" s="172">
        <f>R127+R127*G127</f>
        <v>42.493499999999997</v>
      </c>
      <c r="T127" s="172">
        <f>E127*S127</f>
        <v>0</v>
      </c>
      <c r="U127" s="172">
        <f t="shared" ref="U127:U129" si="146">R127*5%</f>
        <v>1.9950000000000001</v>
      </c>
      <c r="V127" s="172">
        <f t="shared" ref="V127:V129" si="147">R127-U127</f>
        <v>37.905000000000001</v>
      </c>
      <c r="W127" s="172">
        <f t="shared" ref="W127:W129" si="148">S127*5%</f>
        <v>2.1246749999999999</v>
      </c>
      <c r="X127" s="172">
        <f>S127-W127</f>
        <v>40.368825000000001</v>
      </c>
      <c r="Y127" s="176">
        <f>X127*E127</f>
        <v>0</v>
      </c>
      <c r="Z127" s="176">
        <v>0</v>
      </c>
      <c r="AA127" s="176">
        <f>R127*J127</f>
        <v>0</v>
      </c>
      <c r="AB127" s="176">
        <f>S127*E127</f>
        <v>0</v>
      </c>
      <c r="AC127" s="176">
        <f>X127*E127</f>
        <v>0</v>
      </c>
      <c r="AD127" s="267">
        <f t="shared" si="112"/>
        <v>40.368825000000001</v>
      </c>
      <c r="AE127" s="133"/>
      <c r="AF127" s="133"/>
      <c r="AG127" s="133"/>
      <c r="AH127" s="133"/>
    </row>
    <row r="128" spans="1:395" s="28" customFormat="1" ht="15" customHeight="1" x14ac:dyDescent="0.25">
      <c r="A128" s="135"/>
      <c r="B128" s="412" t="s">
        <v>546</v>
      </c>
      <c r="C128" s="400">
        <v>7898670766462</v>
      </c>
      <c r="D128" s="399" t="s">
        <v>237</v>
      </c>
      <c r="E128" s="394">
        <v>0</v>
      </c>
      <c r="F128" s="395">
        <f>IF($D$8="A VISTA",Planilha2!B113,Planilha2!B113)</f>
        <v>34.9</v>
      </c>
      <c r="G128" s="396">
        <v>6.5000000000000002E-2</v>
      </c>
      <c r="H128" s="395">
        <f>IFERROR(F128*(1+G128),#REF!)</f>
        <v>37.168499999999995</v>
      </c>
      <c r="I128" s="395">
        <f>F128*E128</f>
        <v>0</v>
      </c>
      <c r="J128" s="397">
        <f>SUM(E128*H128)</f>
        <v>0</v>
      </c>
      <c r="K128" s="176">
        <f>Planilha2!C113</f>
        <v>33.155000000000001</v>
      </c>
      <c r="L128" s="171">
        <f>K128*G128+K128</f>
        <v>35.310074999999998</v>
      </c>
      <c r="M128" s="176">
        <f>K128*E128</f>
        <v>0</v>
      </c>
      <c r="N128" s="176">
        <f>L128*E128</f>
        <v>0</v>
      </c>
      <c r="O128" s="140"/>
      <c r="P128" s="176">
        <f>H128</f>
        <v>37.168499999999995</v>
      </c>
      <c r="Q128" s="176">
        <f>L128</f>
        <v>35.310074999999998</v>
      </c>
      <c r="R128" s="172">
        <f>F128</f>
        <v>34.9</v>
      </c>
      <c r="S128" s="172">
        <f>H128</f>
        <v>37.168499999999995</v>
      </c>
      <c r="T128" s="172">
        <f>J128</f>
        <v>0</v>
      </c>
      <c r="U128" s="172">
        <f t="shared" si="146"/>
        <v>1.7450000000000001</v>
      </c>
      <c r="V128" s="172">
        <f t="shared" si="147"/>
        <v>33.155000000000001</v>
      </c>
      <c r="W128" s="172">
        <f t="shared" si="148"/>
        <v>1.8584249999999998</v>
      </c>
      <c r="X128" s="172">
        <f>L128</f>
        <v>35.310074999999998</v>
      </c>
      <c r="Y128" s="176">
        <f>X128*E128</f>
        <v>0</v>
      </c>
      <c r="Z128" s="176">
        <v>0</v>
      </c>
      <c r="AA128" s="176">
        <f>R128*J128</f>
        <v>0</v>
      </c>
      <c r="AB128" s="176">
        <f>S128*E128</f>
        <v>0</v>
      </c>
      <c r="AC128" s="176">
        <f>X128*E128</f>
        <v>0</v>
      </c>
      <c r="AD128" s="267">
        <f t="shared" si="112"/>
        <v>35.310074999999998</v>
      </c>
      <c r="AE128" s="133"/>
      <c r="AF128" s="133"/>
      <c r="AG128" s="133"/>
      <c r="AH128" s="133"/>
    </row>
    <row r="129" spans="1:395" s="28" customFormat="1" ht="15" customHeight="1" x14ac:dyDescent="0.25">
      <c r="A129" s="135"/>
      <c r="B129" s="412" t="s">
        <v>898</v>
      </c>
      <c r="C129" s="399" t="s">
        <v>128</v>
      </c>
      <c r="D129" s="399" t="s">
        <v>238</v>
      </c>
      <c r="E129" s="394">
        <v>0</v>
      </c>
      <c r="F129" s="395">
        <f>IF($D$8="A VISTA",Planilha2!B114,Planilha2!B114)</f>
        <v>24.9</v>
      </c>
      <c r="G129" s="396">
        <v>6.5000000000000002E-2</v>
      </c>
      <c r="H129" s="395">
        <f>IFERROR(F129*(1+G129),#REF!)</f>
        <v>26.518499999999996</v>
      </c>
      <c r="I129" s="395">
        <f>F129*E129</f>
        <v>0</v>
      </c>
      <c r="J129" s="397">
        <f>SUM(E129*H129)</f>
        <v>0</v>
      </c>
      <c r="K129" s="176">
        <f>Planilha2!C114</f>
        <v>23.654999999999998</v>
      </c>
      <c r="L129" s="171">
        <f>K129*G129+K129</f>
        <v>25.192574999999998</v>
      </c>
      <c r="M129" s="176">
        <f>K129*E129</f>
        <v>0</v>
      </c>
      <c r="N129" s="176">
        <f>L129*E129</f>
        <v>0</v>
      </c>
      <c r="O129" s="140"/>
      <c r="P129" s="176">
        <f>H129</f>
        <v>26.518499999999996</v>
      </c>
      <c r="Q129" s="176">
        <f>L129</f>
        <v>25.192574999999998</v>
      </c>
      <c r="R129" s="172">
        <f>F129</f>
        <v>24.9</v>
      </c>
      <c r="S129" s="172">
        <f>H129</f>
        <v>26.518499999999996</v>
      </c>
      <c r="T129" s="172">
        <f>J129</f>
        <v>0</v>
      </c>
      <c r="U129" s="172">
        <f t="shared" si="146"/>
        <v>1.2450000000000001</v>
      </c>
      <c r="V129" s="172">
        <f t="shared" si="147"/>
        <v>23.654999999999998</v>
      </c>
      <c r="W129" s="172">
        <f t="shared" si="148"/>
        <v>1.3259249999999998</v>
      </c>
      <c r="X129" s="172">
        <f>L129</f>
        <v>25.192574999999998</v>
      </c>
      <c r="Y129" s="176">
        <f>X129*E129</f>
        <v>0</v>
      </c>
      <c r="Z129" s="176">
        <v>1</v>
      </c>
      <c r="AA129" s="176">
        <f>R129*J129</f>
        <v>0</v>
      </c>
      <c r="AB129" s="176">
        <f>S129*E129</f>
        <v>0</v>
      </c>
      <c r="AC129" s="176">
        <f>X129*E129</f>
        <v>0</v>
      </c>
      <c r="AD129" s="267">
        <f t="shared" ref="AD129" si="149">X129-AB129</f>
        <v>25.192574999999998</v>
      </c>
      <c r="AE129" s="133"/>
      <c r="AF129" s="133"/>
      <c r="AG129" s="133"/>
      <c r="AH129" s="133"/>
    </row>
    <row r="130" spans="1:395" ht="15" customHeight="1" x14ac:dyDescent="0.25">
      <c r="A130" s="135"/>
      <c r="B130" s="157" t="s">
        <v>12</v>
      </c>
      <c r="C130" s="158" t="s">
        <v>13</v>
      </c>
      <c r="D130" s="160" t="s">
        <v>129</v>
      </c>
      <c r="E130" s="160" t="s">
        <v>15</v>
      </c>
      <c r="F130" s="161" t="s">
        <v>607</v>
      </c>
      <c r="G130" s="162" t="s">
        <v>500</v>
      </c>
      <c r="H130" s="161" t="s">
        <v>609</v>
      </c>
      <c r="I130" s="161" t="s">
        <v>615</v>
      </c>
      <c r="J130" s="161" t="s">
        <v>16</v>
      </c>
      <c r="K130" s="161" t="s">
        <v>606</v>
      </c>
      <c r="L130" s="162" t="s">
        <v>908</v>
      </c>
      <c r="M130" s="161" t="s">
        <v>615</v>
      </c>
      <c r="N130" s="161" t="s">
        <v>16</v>
      </c>
      <c r="O130" s="140"/>
      <c r="P130" s="161" t="s">
        <v>853</v>
      </c>
      <c r="Q130" s="161" t="s">
        <v>606</v>
      </c>
      <c r="R130" s="162" t="s">
        <v>910</v>
      </c>
      <c r="S130" s="162" t="s">
        <v>891</v>
      </c>
      <c r="T130" s="162" t="s">
        <v>892</v>
      </c>
      <c r="U130" s="163" t="s">
        <v>894</v>
      </c>
      <c r="V130" s="162" t="s">
        <v>870</v>
      </c>
      <c r="W130" s="163" t="s">
        <v>895</v>
      </c>
      <c r="X130" s="162" t="s">
        <v>893</v>
      </c>
      <c r="Y130" s="161" t="s">
        <v>596</v>
      </c>
      <c r="Z130" s="161" t="s">
        <v>861</v>
      </c>
      <c r="AA130" s="161" t="s">
        <v>860</v>
      </c>
      <c r="AB130" s="161" t="s">
        <v>859</v>
      </c>
      <c r="AC130" s="161" t="s">
        <v>858</v>
      </c>
      <c r="AD130" s="161" t="s">
        <v>874</v>
      </c>
      <c r="AE130" s="133"/>
      <c r="AF130" s="133"/>
      <c r="AG130" s="133"/>
      <c r="AH130" s="133"/>
    </row>
    <row r="131" spans="1:395" s="98" customFormat="1" ht="15" customHeight="1" x14ac:dyDescent="0.25">
      <c r="A131" s="135"/>
      <c r="B131" s="65" t="s">
        <v>130</v>
      </c>
      <c r="C131" s="64" t="s">
        <v>50</v>
      </c>
      <c r="D131" s="64" t="s">
        <v>239</v>
      </c>
      <c r="E131" s="175">
        <v>0</v>
      </c>
      <c r="F131" s="204">
        <f>IF($D$8="A VISTA",Planilha2!B116,Planilha2!B116)</f>
        <v>38.9</v>
      </c>
      <c r="G131" s="205">
        <v>0</v>
      </c>
      <c r="H131" s="204">
        <f>IFERROR(F131*(1+G131),#REF!)</f>
        <v>38.9</v>
      </c>
      <c r="I131" s="204">
        <f>F131*E131</f>
        <v>0</v>
      </c>
      <c r="J131" s="206">
        <f>SUM(E131*H131)</f>
        <v>0</v>
      </c>
      <c r="K131" s="178">
        <f>Planilha2!C116</f>
        <v>36.954999999999998</v>
      </c>
      <c r="L131" s="179">
        <f>K131*G131+K131</f>
        <v>36.954999999999998</v>
      </c>
      <c r="M131" s="178">
        <f>K131*E131</f>
        <v>0</v>
      </c>
      <c r="N131" s="178">
        <f>L131*E131</f>
        <v>0</v>
      </c>
      <c r="O131" s="139"/>
      <c r="P131" s="182">
        <f>H131</f>
        <v>38.9</v>
      </c>
      <c r="Q131" s="207">
        <f>L131</f>
        <v>36.954999999999998</v>
      </c>
      <c r="R131" s="188">
        <f>PROMO!C58</f>
        <v>38.9</v>
      </c>
      <c r="S131" s="188">
        <f>R131+R131*G131</f>
        <v>38.9</v>
      </c>
      <c r="T131" s="188">
        <f>E131*S131</f>
        <v>0</v>
      </c>
      <c r="U131" s="199">
        <f t="shared" ref="U131:U133" si="150">R131*5%</f>
        <v>1.9450000000000001</v>
      </c>
      <c r="V131" s="188">
        <f t="shared" ref="V131:V133" si="151">R131-U131</f>
        <v>36.954999999999998</v>
      </c>
      <c r="W131" s="199">
        <f t="shared" ref="W131:W133" si="152">S131*5%</f>
        <v>1.9450000000000001</v>
      </c>
      <c r="X131" s="188">
        <f>S131-W131</f>
        <v>36.954999999999998</v>
      </c>
      <c r="Y131" s="182">
        <f>X131*E131</f>
        <v>0</v>
      </c>
      <c r="Z131" s="182">
        <f>S131*E131</f>
        <v>0</v>
      </c>
      <c r="AA131" s="182">
        <f>Z131*5%</f>
        <v>0</v>
      </c>
      <c r="AB131" s="182">
        <f>S131*E131</f>
        <v>0</v>
      </c>
      <c r="AC131" s="178">
        <f>X131*E131</f>
        <v>0</v>
      </c>
      <c r="AD131" s="197">
        <f t="shared" si="112"/>
        <v>36.954999999999998</v>
      </c>
      <c r="AE131" s="133"/>
      <c r="AF131" s="133"/>
      <c r="AG131" s="133"/>
      <c r="AH131" s="133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  <c r="GF131" s="28"/>
      <c r="GG131" s="28"/>
      <c r="GH131" s="28"/>
      <c r="GI131" s="28"/>
      <c r="GJ131" s="28"/>
      <c r="GK131" s="28"/>
      <c r="GL131" s="28"/>
      <c r="GM131" s="28"/>
      <c r="GN131" s="28"/>
      <c r="GO131" s="28"/>
      <c r="GP131" s="28"/>
      <c r="GQ131" s="28"/>
      <c r="GR131" s="28"/>
      <c r="GS131" s="28"/>
      <c r="GT131" s="28"/>
      <c r="GU131" s="28"/>
      <c r="GV131" s="28"/>
      <c r="GW131" s="28"/>
      <c r="GX131" s="28"/>
      <c r="GY131" s="28"/>
      <c r="GZ131" s="28"/>
      <c r="HA131" s="28"/>
      <c r="HB131" s="28"/>
      <c r="HC131" s="28"/>
      <c r="HD131" s="28"/>
      <c r="HE131" s="28"/>
      <c r="HF131" s="28"/>
      <c r="HG131" s="28"/>
      <c r="HH131" s="28"/>
      <c r="HI131" s="28"/>
      <c r="HJ131" s="28"/>
      <c r="HK131" s="28"/>
      <c r="HL131" s="28"/>
      <c r="HM131" s="28"/>
      <c r="HN131" s="28"/>
      <c r="HO131" s="28"/>
      <c r="HP131" s="28"/>
      <c r="HQ131" s="28"/>
      <c r="HR131" s="28"/>
      <c r="HS131" s="28"/>
      <c r="HT131" s="28"/>
      <c r="HU131" s="28"/>
      <c r="HV131" s="28"/>
      <c r="HW131" s="28"/>
      <c r="HX131" s="28"/>
      <c r="HY131" s="28"/>
      <c r="HZ131" s="28"/>
      <c r="IA131" s="28"/>
      <c r="IB131" s="28"/>
      <c r="IC131" s="28"/>
      <c r="ID131" s="28"/>
      <c r="IE131" s="28"/>
      <c r="IF131" s="28"/>
      <c r="IG131" s="28"/>
      <c r="IH131" s="28"/>
      <c r="II131" s="28"/>
      <c r="IJ131" s="28"/>
      <c r="IK131" s="28"/>
      <c r="IL131" s="28"/>
      <c r="IM131" s="28"/>
      <c r="IN131" s="28"/>
      <c r="IO131" s="28"/>
      <c r="IP131" s="28"/>
      <c r="IQ131" s="28"/>
      <c r="IR131" s="28"/>
      <c r="IS131" s="28"/>
      <c r="IT131" s="28"/>
      <c r="IU131" s="28"/>
      <c r="IV131" s="28"/>
      <c r="IW131" s="28"/>
      <c r="IX131" s="28"/>
      <c r="IY131" s="28"/>
      <c r="IZ131" s="28"/>
      <c r="JA131" s="28"/>
      <c r="JB131" s="28"/>
      <c r="JC131" s="28"/>
      <c r="JD131" s="28"/>
      <c r="JE131" s="28"/>
      <c r="JF131" s="28"/>
      <c r="JG131" s="28"/>
      <c r="JH131" s="28"/>
      <c r="JI131" s="28"/>
      <c r="JJ131" s="28"/>
      <c r="JK131" s="28"/>
      <c r="JL131" s="28"/>
      <c r="JM131" s="28"/>
      <c r="JN131" s="28"/>
      <c r="JO131" s="28"/>
      <c r="JP131" s="28"/>
      <c r="JQ131" s="28"/>
      <c r="JR131" s="28"/>
      <c r="JS131" s="28"/>
      <c r="JT131" s="28"/>
      <c r="JU131" s="28"/>
      <c r="JV131" s="28"/>
      <c r="JW131" s="28"/>
      <c r="JX131" s="28"/>
      <c r="JY131" s="28"/>
      <c r="JZ131" s="28"/>
      <c r="KA131" s="28"/>
      <c r="KB131" s="28"/>
      <c r="KC131" s="28"/>
      <c r="KD131" s="28"/>
      <c r="KE131" s="28"/>
      <c r="KF131" s="28"/>
      <c r="KG131" s="28"/>
      <c r="KH131" s="28"/>
      <c r="KI131" s="28"/>
      <c r="KJ131" s="28"/>
      <c r="KK131" s="28"/>
      <c r="KL131" s="28"/>
      <c r="KM131" s="28"/>
      <c r="KN131" s="28"/>
      <c r="KO131" s="28"/>
      <c r="KP131" s="28"/>
      <c r="KQ131" s="28"/>
      <c r="KR131" s="28"/>
      <c r="KS131" s="28"/>
      <c r="KT131" s="28"/>
      <c r="KU131" s="28"/>
      <c r="KV131" s="28"/>
      <c r="KW131" s="28"/>
      <c r="KX131" s="28"/>
      <c r="KY131" s="28"/>
      <c r="KZ131" s="28"/>
      <c r="LA131" s="28"/>
      <c r="LB131" s="28"/>
      <c r="LC131" s="28"/>
      <c r="LD131" s="28"/>
      <c r="LE131" s="28"/>
      <c r="LF131" s="28"/>
      <c r="LG131" s="28"/>
      <c r="LH131" s="28"/>
      <c r="LI131" s="28"/>
      <c r="LJ131" s="28"/>
      <c r="LK131" s="28"/>
      <c r="LL131" s="28"/>
      <c r="LM131" s="28"/>
      <c r="LN131" s="28"/>
      <c r="LO131" s="28"/>
      <c r="LP131" s="28"/>
      <c r="LQ131" s="28"/>
      <c r="LR131" s="28"/>
      <c r="LS131" s="28"/>
      <c r="LT131" s="28"/>
      <c r="LU131" s="28"/>
      <c r="LV131" s="28"/>
      <c r="LW131" s="28"/>
      <c r="LX131" s="28"/>
      <c r="LY131" s="28"/>
      <c r="LZ131" s="28"/>
      <c r="MA131" s="28"/>
      <c r="MB131" s="28"/>
      <c r="MC131" s="28"/>
      <c r="MD131" s="28"/>
      <c r="ME131" s="28"/>
      <c r="MF131" s="28"/>
      <c r="MG131" s="28"/>
      <c r="MH131" s="28"/>
      <c r="MI131" s="28"/>
      <c r="MJ131" s="28"/>
      <c r="MK131" s="28"/>
      <c r="ML131" s="28"/>
      <c r="MM131" s="28"/>
      <c r="MN131" s="28"/>
      <c r="MO131" s="28"/>
      <c r="MP131" s="28"/>
      <c r="MQ131" s="28"/>
      <c r="MR131" s="28"/>
      <c r="MS131" s="28"/>
      <c r="MT131" s="28"/>
      <c r="MU131" s="28"/>
      <c r="MV131" s="28"/>
      <c r="MW131" s="28"/>
      <c r="MX131" s="28"/>
      <c r="MY131" s="28"/>
      <c r="MZ131" s="28"/>
      <c r="NA131" s="28"/>
      <c r="NB131" s="28"/>
      <c r="NC131" s="28"/>
      <c r="ND131" s="28"/>
      <c r="NE131" s="28"/>
      <c r="NF131" s="28"/>
      <c r="NG131" s="28"/>
      <c r="NH131" s="28"/>
      <c r="NI131" s="28"/>
      <c r="NJ131" s="28"/>
      <c r="NK131" s="28"/>
      <c r="NL131" s="28"/>
      <c r="NM131" s="28"/>
      <c r="NN131" s="28"/>
      <c r="NO131" s="28"/>
      <c r="NP131" s="28"/>
      <c r="NQ131" s="28"/>
      <c r="NR131" s="28"/>
      <c r="NS131" s="28"/>
      <c r="NT131" s="28"/>
      <c r="NU131" s="28"/>
      <c r="NV131" s="28"/>
      <c r="NW131" s="28"/>
      <c r="NX131" s="28"/>
      <c r="NY131" s="28"/>
      <c r="NZ131" s="28"/>
      <c r="OA131" s="28"/>
      <c r="OB131" s="28"/>
      <c r="OC131" s="28"/>
      <c r="OD131" s="28"/>
      <c r="OE131" s="28"/>
    </row>
    <row r="132" spans="1:395" s="98" customFormat="1" ht="15.6" customHeight="1" x14ac:dyDescent="0.25">
      <c r="A132" s="135"/>
      <c r="B132" s="65" t="s">
        <v>131</v>
      </c>
      <c r="C132" s="64" t="s">
        <v>132</v>
      </c>
      <c r="D132" s="64" t="s">
        <v>133</v>
      </c>
      <c r="E132" s="175">
        <v>0</v>
      </c>
      <c r="F132" s="204">
        <f>IF($D$8="A VISTA",Planilha2!B117,Planilha2!B117)</f>
        <v>17.899999999999999</v>
      </c>
      <c r="G132" s="205">
        <v>0</v>
      </c>
      <c r="H132" s="204">
        <f>IFERROR(F132*(1+G132),#REF!)</f>
        <v>17.899999999999999</v>
      </c>
      <c r="I132" s="204">
        <f>F132*E132</f>
        <v>0</v>
      </c>
      <c r="J132" s="206">
        <f>SUM(E132*H132)</f>
        <v>0</v>
      </c>
      <c r="K132" s="178">
        <f>Planilha2!C117</f>
        <v>17.004999999999999</v>
      </c>
      <c r="L132" s="179">
        <f>K132*G132+K132</f>
        <v>17.004999999999999</v>
      </c>
      <c r="M132" s="178">
        <f>K132*E132</f>
        <v>0</v>
      </c>
      <c r="N132" s="178">
        <f>L132*E132</f>
        <v>0</v>
      </c>
      <c r="O132" s="139"/>
      <c r="P132" s="182">
        <f>H132</f>
        <v>17.899999999999999</v>
      </c>
      <c r="Q132" s="207">
        <f>L132</f>
        <v>17.004999999999999</v>
      </c>
      <c r="R132" s="188">
        <f>PROMO!C76</f>
        <v>22.9</v>
      </c>
      <c r="S132" s="188">
        <f>R132+R132*G132</f>
        <v>22.9</v>
      </c>
      <c r="T132" s="188">
        <f>E132*S132</f>
        <v>0</v>
      </c>
      <c r="U132" s="199">
        <f t="shared" si="150"/>
        <v>1.145</v>
      </c>
      <c r="V132" s="188">
        <f t="shared" si="151"/>
        <v>21.754999999999999</v>
      </c>
      <c r="W132" s="199">
        <f t="shared" si="152"/>
        <v>1.145</v>
      </c>
      <c r="X132" s="188">
        <f>S132-W132</f>
        <v>21.754999999999999</v>
      </c>
      <c r="Y132" s="182">
        <f>X132*E132</f>
        <v>0</v>
      </c>
      <c r="Z132" s="182">
        <f>S132*E132</f>
        <v>0</v>
      </c>
      <c r="AA132" s="182">
        <f>Z132*5%</f>
        <v>0</v>
      </c>
      <c r="AB132" s="182">
        <f>S132*E132</f>
        <v>0</v>
      </c>
      <c r="AC132" s="178">
        <f>X132*E132</f>
        <v>0</v>
      </c>
      <c r="AD132" s="197">
        <f t="shared" si="112"/>
        <v>21.754999999999999</v>
      </c>
      <c r="AE132" s="133"/>
      <c r="AF132" s="133"/>
      <c r="AG132" s="133"/>
      <c r="AH132" s="133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  <c r="GF132" s="28"/>
      <c r="GG132" s="28"/>
      <c r="GH132" s="28"/>
      <c r="GI132" s="28"/>
      <c r="GJ132" s="28"/>
      <c r="GK132" s="28"/>
      <c r="GL132" s="28"/>
      <c r="GM132" s="28"/>
      <c r="GN132" s="28"/>
      <c r="GO132" s="28"/>
      <c r="GP132" s="28"/>
      <c r="GQ132" s="28"/>
      <c r="GR132" s="28"/>
      <c r="GS132" s="28"/>
      <c r="GT132" s="28"/>
      <c r="GU132" s="28"/>
      <c r="GV132" s="28"/>
      <c r="GW132" s="28"/>
      <c r="GX132" s="28"/>
      <c r="GY132" s="28"/>
      <c r="GZ132" s="28"/>
      <c r="HA132" s="28"/>
      <c r="HB132" s="28"/>
      <c r="HC132" s="28"/>
      <c r="HD132" s="28"/>
      <c r="HE132" s="28"/>
      <c r="HF132" s="28"/>
      <c r="HG132" s="28"/>
      <c r="HH132" s="28"/>
      <c r="HI132" s="28"/>
      <c r="HJ132" s="28"/>
      <c r="HK132" s="28"/>
      <c r="HL132" s="28"/>
      <c r="HM132" s="28"/>
      <c r="HN132" s="28"/>
      <c r="HO132" s="28"/>
      <c r="HP132" s="28"/>
      <c r="HQ132" s="28"/>
      <c r="HR132" s="28"/>
      <c r="HS132" s="28"/>
      <c r="HT132" s="28"/>
      <c r="HU132" s="28"/>
      <c r="HV132" s="28"/>
      <c r="HW132" s="28"/>
      <c r="HX132" s="28"/>
      <c r="HY132" s="28"/>
      <c r="HZ132" s="28"/>
      <c r="IA132" s="28"/>
      <c r="IB132" s="28"/>
      <c r="IC132" s="28"/>
      <c r="ID132" s="28"/>
      <c r="IE132" s="28"/>
      <c r="IF132" s="28"/>
      <c r="IG132" s="28"/>
      <c r="IH132" s="28"/>
      <c r="II132" s="28"/>
      <c r="IJ132" s="28"/>
      <c r="IK132" s="28"/>
      <c r="IL132" s="28"/>
      <c r="IM132" s="28"/>
      <c r="IN132" s="28"/>
      <c r="IO132" s="28"/>
      <c r="IP132" s="28"/>
      <c r="IQ132" s="28"/>
      <c r="IR132" s="28"/>
      <c r="IS132" s="28"/>
      <c r="IT132" s="28"/>
      <c r="IU132" s="28"/>
      <c r="IV132" s="28"/>
      <c r="IW132" s="28"/>
      <c r="IX132" s="28"/>
      <c r="IY132" s="28"/>
      <c r="IZ132" s="28"/>
      <c r="JA132" s="28"/>
      <c r="JB132" s="28"/>
      <c r="JC132" s="28"/>
      <c r="JD132" s="28"/>
      <c r="JE132" s="28"/>
      <c r="JF132" s="28"/>
      <c r="JG132" s="28"/>
      <c r="JH132" s="28"/>
      <c r="JI132" s="28"/>
      <c r="JJ132" s="28"/>
      <c r="JK132" s="28"/>
      <c r="JL132" s="28"/>
      <c r="JM132" s="28"/>
      <c r="JN132" s="28"/>
      <c r="JO132" s="28"/>
      <c r="JP132" s="28"/>
      <c r="JQ132" s="28"/>
      <c r="JR132" s="28"/>
      <c r="JS132" s="28"/>
      <c r="JT132" s="28"/>
      <c r="JU132" s="28"/>
      <c r="JV132" s="28"/>
      <c r="JW132" s="28"/>
      <c r="JX132" s="28"/>
      <c r="JY132" s="28"/>
      <c r="JZ132" s="28"/>
      <c r="KA132" s="28"/>
      <c r="KB132" s="28"/>
      <c r="KC132" s="28"/>
      <c r="KD132" s="28"/>
      <c r="KE132" s="28"/>
      <c r="KF132" s="28"/>
      <c r="KG132" s="28"/>
      <c r="KH132" s="28"/>
      <c r="KI132" s="28"/>
      <c r="KJ132" s="28"/>
      <c r="KK132" s="28"/>
      <c r="KL132" s="28"/>
      <c r="KM132" s="28"/>
      <c r="KN132" s="28"/>
      <c r="KO132" s="28"/>
      <c r="KP132" s="28"/>
      <c r="KQ132" s="28"/>
      <c r="KR132" s="28"/>
      <c r="KS132" s="28"/>
      <c r="KT132" s="28"/>
      <c r="KU132" s="28"/>
      <c r="KV132" s="28"/>
      <c r="KW132" s="28"/>
      <c r="KX132" s="28"/>
      <c r="KY132" s="28"/>
      <c r="KZ132" s="28"/>
      <c r="LA132" s="28"/>
      <c r="LB132" s="28"/>
      <c r="LC132" s="28"/>
      <c r="LD132" s="28"/>
      <c r="LE132" s="28"/>
      <c r="LF132" s="28"/>
      <c r="LG132" s="28"/>
      <c r="LH132" s="28"/>
      <c r="LI132" s="28"/>
      <c r="LJ132" s="28"/>
      <c r="LK132" s="28"/>
      <c r="LL132" s="28"/>
      <c r="LM132" s="28"/>
      <c r="LN132" s="28"/>
      <c r="LO132" s="28"/>
      <c r="LP132" s="28"/>
      <c r="LQ132" s="28"/>
      <c r="LR132" s="28"/>
      <c r="LS132" s="28"/>
      <c r="LT132" s="28"/>
      <c r="LU132" s="28"/>
      <c r="LV132" s="28"/>
      <c r="LW132" s="28"/>
      <c r="LX132" s="28"/>
      <c r="LY132" s="28"/>
      <c r="LZ132" s="28"/>
      <c r="MA132" s="28"/>
      <c r="MB132" s="28"/>
      <c r="MC132" s="28"/>
      <c r="MD132" s="28"/>
      <c r="ME132" s="28"/>
      <c r="MF132" s="28"/>
      <c r="MG132" s="28"/>
      <c r="MH132" s="28"/>
      <c r="MI132" s="28"/>
      <c r="MJ132" s="28"/>
      <c r="MK132" s="28"/>
      <c r="ML132" s="28"/>
      <c r="MM132" s="28"/>
      <c r="MN132" s="28"/>
      <c r="MO132" s="28"/>
      <c r="MP132" s="28"/>
      <c r="MQ132" s="28"/>
      <c r="MR132" s="28"/>
      <c r="MS132" s="28"/>
      <c r="MT132" s="28"/>
      <c r="MU132" s="28"/>
      <c r="MV132" s="28"/>
      <c r="MW132" s="28"/>
      <c r="MX132" s="28"/>
      <c r="MY132" s="28"/>
      <c r="MZ132" s="28"/>
      <c r="NA132" s="28"/>
      <c r="NB132" s="28"/>
      <c r="NC132" s="28"/>
      <c r="ND132" s="28"/>
      <c r="NE132" s="28"/>
      <c r="NF132" s="28"/>
      <c r="NG132" s="28"/>
      <c r="NH132" s="28"/>
      <c r="NI132" s="28"/>
      <c r="NJ132" s="28"/>
      <c r="NK132" s="28"/>
      <c r="NL132" s="28"/>
      <c r="NM132" s="28"/>
      <c r="NN132" s="28"/>
      <c r="NO132" s="28"/>
      <c r="NP132" s="28"/>
      <c r="NQ132" s="28"/>
      <c r="NR132" s="28"/>
      <c r="NS132" s="28"/>
      <c r="NT132" s="28"/>
      <c r="NU132" s="28"/>
      <c r="NV132" s="28"/>
      <c r="NW132" s="28"/>
      <c r="NX132" s="28"/>
      <c r="NY132" s="28"/>
      <c r="NZ132" s="28"/>
      <c r="OA132" s="28"/>
      <c r="OB132" s="28"/>
      <c r="OC132" s="28"/>
      <c r="OD132" s="28"/>
      <c r="OE132" s="28"/>
    </row>
    <row r="133" spans="1:395" s="98" customFormat="1" ht="15" customHeight="1" x14ac:dyDescent="0.25">
      <c r="A133" s="135"/>
      <c r="B133" s="65" t="s">
        <v>134</v>
      </c>
      <c r="C133" s="64" t="s">
        <v>135</v>
      </c>
      <c r="D133" s="64" t="s">
        <v>277</v>
      </c>
      <c r="E133" s="175">
        <v>0</v>
      </c>
      <c r="F133" s="204">
        <f>IF($D$8="A VISTA",Planilha2!B118,Planilha2!B118)</f>
        <v>19.911999999999999</v>
      </c>
      <c r="G133" s="414">
        <v>9.7500000000000003E-2</v>
      </c>
      <c r="H133" s="204">
        <f>IFERROR(F133*(1+G133),#REF!)</f>
        <v>21.853419999999996</v>
      </c>
      <c r="I133" s="204">
        <f>F133*E133</f>
        <v>0</v>
      </c>
      <c r="J133" s="206">
        <f>SUM(E133*H133)</f>
        <v>0</v>
      </c>
      <c r="K133" s="178">
        <f>Planilha2!C118</f>
        <v>18.916399999999999</v>
      </c>
      <c r="L133" s="179">
        <f>K133*G133+K133</f>
        <v>20.760749000000001</v>
      </c>
      <c r="M133" s="178">
        <f>K133*E133</f>
        <v>0</v>
      </c>
      <c r="N133" s="178">
        <f>L133*E133</f>
        <v>0</v>
      </c>
      <c r="O133" s="139"/>
      <c r="P133" s="182">
        <f>H133</f>
        <v>21.853419999999996</v>
      </c>
      <c r="Q133" s="207">
        <f>L133</f>
        <v>20.760749000000001</v>
      </c>
      <c r="R133" s="188">
        <f>PROMO!C80</f>
        <v>19.911999999999999</v>
      </c>
      <c r="S133" s="188">
        <f>R133+R133*G133</f>
        <v>21.85342</v>
      </c>
      <c r="T133" s="188">
        <f>E133*S133</f>
        <v>0</v>
      </c>
      <c r="U133" s="199">
        <f t="shared" si="150"/>
        <v>0.99560000000000004</v>
      </c>
      <c r="V133" s="188">
        <f t="shared" si="151"/>
        <v>18.916399999999999</v>
      </c>
      <c r="W133" s="199">
        <f t="shared" si="152"/>
        <v>1.0926709999999999</v>
      </c>
      <c r="X133" s="188">
        <f>S133-W133</f>
        <v>20.760749000000001</v>
      </c>
      <c r="Y133" s="182">
        <f>X133*E133</f>
        <v>0</v>
      </c>
      <c r="Z133" s="182">
        <f>S133*E133</f>
        <v>0</v>
      </c>
      <c r="AA133" s="182">
        <f>Z133*5%</f>
        <v>0</v>
      </c>
      <c r="AB133" s="182">
        <f>S133*E133</f>
        <v>0</v>
      </c>
      <c r="AC133" s="178">
        <f>X133*E133</f>
        <v>0</v>
      </c>
      <c r="AD133" s="197">
        <f t="shared" si="112"/>
        <v>20.760749000000001</v>
      </c>
      <c r="AE133" s="133"/>
      <c r="AF133" s="133"/>
      <c r="AG133" s="133"/>
      <c r="AH133" s="133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  <c r="GF133" s="28"/>
      <c r="GG133" s="28"/>
      <c r="GH133" s="28"/>
      <c r="GI133" s="28"/>
      <c r="GJ133" s="28"/>
      <c r="GK133" s="28"/>
      <c r="GL133" s="28"/>
      <c r="GM133" s="28"/>
      <c r="GN133" s="28"/>
      <c r="GO133" s="28"/>
      <c r="GP133" s="28"/>
      <c r="GQ133" s="28"/>
      <c r="GR133" s="28"/>
      <c r="GS133" s="28"/>
      <c r="GT133" s="28"/>
      <c r="GU133" s="28"/>
      <c r="GV133" s="28"/>
      <c r="GW133" s="28"/>
      <c r="GX133" s="28"/>
      <c r="GY133" s="28"/>
      <c r="GZ133" s="28"/>
      <c r="HA133" s="28"/>
      <c r="HB133" s="28"/>
      <c r="HC133" s="28"/>
      <c r="HD133" s="28"/>
      <c r="HE133" s="28"/>
      <c r="HF133" s="28"/>
      <c r="HG133" s="28"/>
      <c r="HH133" s="28"/>
      <c r="HI133" s="28"/>
      <c r="HJ133" s="28"/>
      <c r="HK133" s="28"/>
      <c r="HL133" s="28"/>
      <c r="HM133" s="28"/>
      <c r="HN133" s="28"/>
      <c r="HO133" s="28"/>
      <c r="HP133" s="28"/>
      <c r="HQ133" s="28"/>
      <c r="HR133" s="28"/>
      <c r="HS133" s="28"/>
      <c r="HT133" s="28"/>
      <c r="HU133" s="28"/>
      <c r="HV133" s="28"/>
      <c r="HW133" s="28"/>
      <c r="HX133" s="28"/>
      <c r="HY133" s="28"/>
      <c r="HZ133" s="28"/>
      <c r="IA133" s="28"/>
      <c r="IB133" s="28"/>
      <c r="IC133" s="28"/>
      <c r="ID133" s="28"/>
      <c r="IE133" s="28"/>
      <c r="IF133" s="28"/>
      <c r="IG133" s="28"/>
      <c r="IH133" s="28"/>
      <c r="II133" s="28"/>
      <c r="IJ133" s="28"/>
      <c r="IK133" s="28"/>
      <c r="IL133" s="28"/>
      <c r="IM133" s="28"/>
      <c r="IN133" s="28"/>
      <c r="IO133" s="28"/>
      <c r="IP133" s="28"/>
      <c r="IQ133" s="28"/>
      <c r="IR133" s="28"/>
      <c r="IS133" s="28"/>
      <c r="IT133" s="28"/>
      <c r="IU133" s="28"/>
      <c r="IV133" s="28"/>
      <c r="IW133" s="28"/>
      <c r="IX133" s="28"/>
      <c r="IY133" s="28"/>
      <c r="IZ133" s="28"/>
      <c r="JA133" s="28"/>
      <c r="JB133" s="28"/>
      <c r="JC133" s="28"/>
      <c r="JD133" s="28"/>
      <c r="JE133" s="28"/>
      <c r="JF133" s="28"/>
      <c r="JG133" s="28"/>
      <c r="JH133" s="28"/>
      <c r="JI133" s="28"/>
      <c r="JJ133" s="28"/>
      <c r="JK133" s="28"/>
      <c r="JL133" s="28"/>
      <c r="JM133" s="28"/>
      <c r="JN133" s="28"/>
      <c r="JO133" s="28"/>
      <c r="JP133" s="28"/>
      <c r="JQ133" s="28"/>
      <c r="JR133" s="28"/>
      <c r="JS133" s="28"/>
      <c r="JT133" s="28"/>
      <c r="JU133" s="28"/>
      <c r="JV133" s="28"/>
      <c r="JW133" s="28"/>
      <c r="JX133" s="28"/>
      <c r="JY133" s="28"/>
      <c r="JZ133" s="28"/>
      <c r="KA133" s="28"/>
      <c r="KB133" s="28"/>
      <c r="KC133" s="28"/>
      <c r="KD133" s="28"/>
      <c r="KE133" s="28"/>
      <c r="KF133" s="28"/>
      <c r="KG133" s="28"/>
      <c r="KH133" s="28"/>
      <c r="KI133" s="28"/>
      <c r="KJ133" s="28"/>
      <c r="KK133" s="28"/>
      <c r="KL133" s="28"/>
      <c r="KM133" s="28"/>
      <c r="KN133" s="28"/>
      <c r="KO133" s="28"/>
      <c r="KP133" s="28"/>
      <c r="KQ133" s="28"/>
      <c r="KR133" s="28"/>
      <c r="KS133" s="28"/>
      <c r="KT133" s="28"/>
      <c r="KU133" s="28"/>
      <c r="KV133" s="28"/>
      <c r="KW133" s="28"/>
      <c r="KX133" s="28"/>
      <c r="KY133" s="28"/>
      <c r="KZ133" s="28"/>
      <c r="LA133" s="28"/>
      <c r="LB133" s="28"/>
      <c r="LC133" s="28"/>
      <c r="LD133" s="28"/>
      <c r="LE133" s="28"/>
      <c r="LF133" s="28"/>
      <c r="LG133" s="28"/>
      <c r="LH133" s="28"/>
      <c r="LI133" s="28"/>
      <c r="LJ133" s="28"/>
      <c r="LK133" s="28"/>
      <c r="LL133" s="28"/>
      <c r="LM133" s="28"/>
      <c r="LN133" s="28"/>
      <c r="LO133" s="28"/>
      <c r="LP133" s="28"/>
      <c r="LQ133" s="28"/>
      <c r="LR133" s="28"/>
      <c r="LS133" s="28"/>
      <c r="LT133" s="28"/>
      <c r="LU133" s="28"/>
      <c r="LV133" s="28"/>
      <c r="LW133" s="28"/>
      <c r="LX133" s="28"/>
      <c r="LY133" s="28"/>
      <c r="LZ133" s="28"/>
      <c r="MA133" s="28"/>
      <c r="MB133" s="28"/>
      <c r="MC133" s="28"/>
      <c r="MD133" s="28"/>
      <c r="ME133" s="28"/>
      <c r="MF133" s="28"/>
      <c r="MG133" s="28"/>
      <c r="MH133" s="28"/>
      <c r="MI133" s="28"/>
      <c r="MJ133" s="28"/>
      <c r="MK133" s="28"/>
      <c r="ML133" s="28"/>
      <c r="MM133" s="28"/>
      <c r="MN133" s="28"/>
      <c r="MO133" s="28"/>
      <c r="MP133" s="28"/>
      <c r="MQ133" s="28"/>
      <c r="MR133" s="28"/>
      <c r="MS133" s="28"/>
      <c r="MT133" s="28"/>
      <c r="MU133" s="28"/>
      <c r="MV133" s="28"/>
      <c r="MW133" s="28"/>
      <c r="MX133" s="28"/>
      <c r="MY133" s="28"/>
      <c r="MZ133" s="28"/>
      <c r="NA133" s="28"/>
      <c r="NB133" s="28"/>
      <c r="NC133" s="28"/>
      <c r="ND133" s="28"/>
      <c r="NE133" s="28"/>
      <c r="NF133" s="28"/>
      <c r="NG133" s="28"/>
      <c r="NH133" s="28"/>
      <c r="NI133" s="28"/>
      <c r="NJ133" s="28"/>
      <c r="NK133" s="28"/>
      <c r="NL133" s="28"/>
      <c r="NM133" s="28"/>
      <c r="NN133" s="28"/>
      <c r="NO133" s="28"/>
      <c r="NP133" s="28"/>
      <c r="NQ133" s="28"/>
      <c r="NR133" s="28"/>
      <c r="NS133" s="28"/>
      <c r="NT133" s="28"/>
      <c r="NU133" s="28"/>
      <c r="NV133" s="28"/>
      <c r="NW133" s="28"/>
      <c r="NX133" s="28"/>
      <c r="NY133" s="28"/>
      <c r="NZ133" s="28"/>
      <c r="OA133" s="28"/>
      <c r="OB133" s="28"/>
      <c r="OC133" s="28"/>
      <c r="OD133" s="28"/>
      <c r="OE133" s="28"/>
    </row>
    <row r="134" spans="1:395" s="98" customFormat="1" ht="15" customHeight="1" x14ac:dyDescent="0.25">
      <c r="A134" s="135"/>
      <c r="B134" s="157" t="s">
        <v>12</v>
      </c>
      <c r="C134" s="158" t="s">
        <v>13</v>
      </c>
      <c r="D134" s="160" t="s">
        <v>999</v>
      </c>
      <c r="E134" s="160" t="s">
        <v>15</v>
      </c>
      <c r="F134" s="161" t="s">
        <v>607</v>
      </c>
      <c r="G134" s="162" t="s">
        <v>500</v>
      </c>
      <c r="H134" s="161" t="s">
        <v>609</v>
      </c>
      <c r="I134" s="161" t="s">
        <v>615</v>
      </c>
      <c r="J134" s="161" t="s">
        <v>16</v>
      </c>
      <c r="K134" s="161" t="s">
        <v>606</v>
      </c>
      <c r="L134" s="162" t="s">
        <v>908</v>
      </c>
      <c r="M134" s="161" t="s">
        <v>615</v>
      </c>
      <c r="N134" s="161" t="s">
        <v>16</v>
      </c>
      <c r="O134" s="140"/>
      <c r="P134" s="176"/>
      <c r="Q134" s="171"/>
      <c r="R134" s="162" t="s">
        <v>910</v>
      </c>
      <c r="S134" s="162" t="s">
        <v>891</v>
      </c>
      <c r="T134" s="162" t="s">
        <v>892</v>
      </c>
      <c r="U134" s="163" t="s">
        <v>894</v>
      </c>
      <c r="V134" s="162" t="s">
        <v>870</v>
      </c>
      <c r="W134" s="163" t="s">
        <v>895</v>
      </c>
      <c r="X134" s="162" t="s">
        <v>893</v>
      </c>
      <c r="Y134" s="161" t="s">
        <v>596</v>
      </c>
      <c r="Z134" s="161" t="s">
        <v>861</v>
      </c>
      <c r="AA134" s="161" t="s">
        <v>860</v>
      </c>
      <c r="AB134" s="161" t="s">
        <v>859</v>
      </c>
      <c r="AC134" s="161" t="s">
        <v>858</v>
      </c>
      <c r="AD134" s="161" t="s">
        <v>874</v>
      </c>
      <c r="AE134" s="133"/>
      <c r="AF134" s="133"/>
      <c r="AG134" s="133"/>
      <c r="AH134" s="133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  <c r="GF134" s="28"/>
      <c r="GG134" s="28"/>
      <c r="GH134" s="28"/>
      <c r="GI134" s="28"/>
      <c r="GJ134" s="28"/>
      <c r="GK134" s="28"/>
      <c r="GL134" s="28"/>
      <c r="GM134" s="28"/>
      <c r="GN134" s="28"/>
      <c r="GO134" s="28"/>
      <c r="GP134" s="28"/>
      <c r="GQ134" s="28"/>
      <c r="GR134" s="28"/>
      <c r="GS134" s="28"/>
      <c r="GT134" s="28"/>
      <c r="GU134" s="28"/>
      <c r="GV134" s="28"/>
      <c r="GW134" s="28"/>
      <c r="GX134" s="28"/>
      <c r="GY134" s="28"/>
      <c r="GZ134" s="28"/>
      <c r="HA134" s="28"/>
      <c r="HB134" s="28"/>
      <c r="HC134" s="28"/>
      <c r="HD134" s="28"/>
      <c r="HE134" s="28"/>
      <c r="HF134" s="28"/>
      <c r="HG134" s="28"/>
      <c r="HH134" s="28"/>
      <c r="HI134" s="28"/>
      <c r="HJ134" s="28"/>
      <c r="HK134" s="28"/>
      <c r="HL134" s="28"/>
      <c r="HM134" s="28"/>
      <c r="HN134" s="28"/>
      <c r="HO134" s="28"/>
      <c r="HP134" s="28"/>
      <c r="HQ134" s="28"/>
      <c r="HR134" s="28"/>
      <c r="HS134" s="28"/>
      <c r="HT134" s="28"/>
      <c r="HU134" s="28"/>
      <c r="HV134" s="28"/>
      <c r="HW134" s="28"/>
      <c r="HX134" s="28"/>
      <c r="HY134" s="28"/>
      <c r="HZ134" s="28"/>
      <c r="IA134" s="28"/>
      <c r="IB134" s="28"/>
      <c r="IC134" s="28"/>
      <c r="ID134" s="28"/>
      <c r="IE134" s="28"/>
      <c r="IF134" s="28"/>
      <c r="IG134" s="28"/>
      <c r="IH134" s="28"/>
      <c r="II134" s="28"/>
      <c r="IJ134" s="28"/>
      <c r="IK134" s="28"/>
      <c r="IL134" s="28"/>
      <c r="IM134" s="28"/>
      <c r="IN134" s="28"/>
      <c r="IO134" s="28"/>
      <c r="IP134" s="28"/>
      <c r="IQ134" s="28"/>
      <c r="IR134" s="28"/>
      <c r="IS134" s="28"/>
      <c r="IT134" s="28"/>
      <c r="IU134" s="28"/>
      <c r="IV134" s="28"/>
      <c r="IW134" s="28"/>
      <c r="IX134" s="28"/>
      <c r="IY134" s="28"/>
      <c r="IZ134" s="28"/>
      <c r="JA134" s="28"/>
      <c r="JB134" s="28"/>
      <c r="JC134" s="28"/>
      <c r="JD134" s="28"/>
      <c r="JE134" s="28"/>
      <c r="JF134" s="28"/>
      <c r="JG134" s="28"/>
      <c r="JH134" s="28"/>
      <c r="JI134" s="28"/>
      <c r="JJ134" s="28"/>
      <c r="JK134" s="28"/>
      <c r="JL134" s="28"/>
      <c r="JM134" s="28"/>
      <c r="JN134" s="28"/>
      <c r="JO134" s="28"/>
      <c r="JP134" s="28"/>
      <c r="JQ134" s="28"/>
      <c r="JR134" s="28"/>
      <c r="JS134" s="28"/>
      <c r="JT134" s="28"/>
      <c r="JU134" s="28"/>
      <c r="JV134" s="28"/>
      <c r="JW134" s="28"/>
      <c r="JX134" s="28"/>
      <c r="JY134" s="28"/>
      <c r="JZ134" s="28"/>
      <c r="KA134" s="28"/>
      <c r="KB134" s="28"/>
      <c r="KC134" s="28"/>
      <c r="KD134" s="28"/>
      <c r="KE134" s="28"/>
      <c r="KF134" s="28"/>
      <c r="KG134" s="28"/>
      <c r="KH134" s="28"/>
      <c r="KI134" s="28"/>
      <c r="KJ134" s="28"/>
      <c r="KK134" s="28"/>
      <c r="KL134" s="28"/>
      <c r="KM134" s="28"/>
      <c r="KN134" s="28"/>
      <c r="KO134" s="28"/>
      <c r="KP134" s="28"/>
      <c r="KQ134" s="28"/>
      <c r="KR134" s="28"/>
      <c r="KS134" s="28"/>
      <c r="KT134" s="28"/>
      <c r="KU134" s="28"/>
      <c r="KV134" s="28"/>
      <c r="KW134" s="28"/>
      <c r="KX134" s="28"/>
      <c r="KY134" s="28"/>
      <c r="KZ134" s="28"/>
      <c r="LA134" s="28"/>
      <c r="LB134" s="28"/>
      <c r="LC134" s="28"/>
      <c r="LD134" s="28"/>
      <c r="LE134" s="28"/>
      <c r="LF134" s="28"/>
      <c r="LG134" s="28"/>
      <c r="LH134" s="28"/>
      <c r="LI134" s="28"/>
      <c r="LJ134" s="28"/>
      <c r="LK134" s="28"/>
      <c r="LL134" s="28"/>
      <c r="LM134" s="28"/>
      <c r="LN134" s="28"/>
      <c r="LO134" s="28"/>
      <c r="LP134" s="28"/>
      <c r="LQ134" s="28"/>
      <c r="LR134" s="28"/>
      <c r="LS134" s="28"/>
      <c r="LT134" s="28"/>
      <c r="LU134" s="28"/>
      <c r="LV134" s="28"/>
      <c r="LW134" s="28"/>
      <c r="LX134" s="28"/>
      <c r="LY134" s="28"/>
      <c r="LZ134" s="28"/>
      <c r="MA134" s="28"/>
      <c r="MB134" s="28"/>
      <c r="MC134" s="28"/>
      <c r="MD134" s="28"/>
      <c r="ME134" s="28"/>
      <c r="MF134" s="28"/>
      <c r="MG134" s="28"/>
      <c r="MH134" s="28"/>
      <c r="MI134" s="28"/>
      <c r="MJ134" s="28"/>
      <c r="MK134" s="28"/>
      <c r="ML134" s="28"/>
      <c r="MM134" s="28"/>
      <c r="MN134" s="28"/>
      <c r="MO134" s="28"/>
      <c r="MP134" s="28"/>
      <c r="MQ134" s="28"/>
      <c r="MR134" s="28"/>
      <c r="MS134" s="28"/>
      <c r="MT134" s="28"/>
      <c r="MU134" s="28"/>
      <c r="MV134" s="28"/>
      <c r="MW134" s="28"/>
      <c r="MX134" s="28"/>
      <c r="MY134" s="28"/>
      <c r="MZ134" s="28"/>
      <c r="NA134" s="28"/>
      <c r="NB134" s="28"/>
      <c r="NC134" s="28"/>
      <c r="ND134" s="28"/>
      <c r="NE134" s="28"/>
      <c r="NF134" s="28"/>
      <c r="NG134" s="28"/>
      <c r="NH134" s="28"/>
      <c r="NI134" s="28"/>
      <c r="NJ134" s="28"/>
      <c r="NK134" s="28"/>
      <c r="NL134" s="28"/>
      <c r="NM134" s="28"/>
      <c r="NN134" s="28"/>
      <c r="NO134" s="28"/>
      <c r="NP134" s="28"/>
      <c r="NQ134" s="28"/>
      <c r="NR134" s="28"/>
      <c r="NS134" s="28"/>
      <c r="NT134" s="28"/>
      <c r="NU134" s="28"/>
      <c r="NV134" s="28"/>
      <c r="NW134" s="28"/>
      <c r="NX134" s="28"/>
      <c r="NY134" s="28"/>
      <c r="NZ134" s="28"/>
      <c r="OA134" s="28"/>
      <c r="OB134" s="28"/>
      <c r="OC134" s="28"/>
      <c r="OD134" s="28"/>
      <c r="OE134" s="28"/>
    </row>
    <row r="135" spans="1:395" s="28" customFormat="1" ht="15" customHeight="1" x14ac:dyDescent="0.25">
      <c r="A135" s="135"/>
      <c r="B135" s="291" t="s">
        <v>1002</v>
      </c>
      <c r="C135" s="401">
        <v>7898670767230</v>
      </c>
      <c r="D135" s="291" t="s">
        <v>1016</v>
      </c>
      <c r="E135" s="402">
        <v>0</v>
      </c>
      <c r="F135" s="403">
        <f>IF($D$8="A VISTA",Planilha2!B120,Planilha2!B120)</f>
        <v>9.9</v>
      </c>
      <c r="G135" s="416">
        <v>0</v>
      </c>
      <c r="H135" s="403">
        <f>IFERROR(F135*(1+G135),#REF!)</f>
        <v>9.9</v>
      </c>
      <c r="I135" s="403">
        <f>F135*E135</f>
        <v>0</v>
      </c>
      <c r="J135" s="405">
        <f>SUM(E135*H135)</f>
        <v>0</v>
      </c>
      <c r="K135" s="176">
        <f>IF($D$8="A VISTA",Planilha2!C120,Planilha2!C120)</f>
        <v>9.4050000000000011</v>
      </c>
      <c r="L135" s="176">
        <f>K135*G135+K135</f>
        <v>9.4050000000000011</v>
      </c>
      <c r="M135" s="176">
        <f>K135*E135</f>
        <v>0</v>
      </c>
      <c r="N135" s="176">
        <f>L135*E135</f>
        <v>0</v>
      </c>
      <c r="O135" s="140"/>
      <c r="P135" s="176"/>
      <c r="Q135" s="171"/>
      <c r="R135" s="172">
        <f>F135</f>
        <v>9.9</v>
      </c>
      <c r="S135" s="172">
        <f>H135</f>
        <v>9.9</v>
      </c>
      <c r="T135" s="172">
        <f>J135</f>
        <v>0</v>
      </c>
      <c r="U135" s="172">
        <f t="shared" ref="U135:U136" si="153">R135*5%</f>
        <v>0.49500000000000005</v>
      </c>
      <c r="V135" s="172">
        <f t="shared" ref="V135:V136" si="154">R135-U135</f>
        <v>9.4050000000000011</v>
      </c>
      <c r="W135" s="172">
        <f t="shared" ref="W135:W136" si="155">S135*5%</f>
        <v>0.49500000000000005</v>
      </c>
      <c r="X135" s="172">
        <f>L135</f>
        <v>9.4050000000000011</v>
      </c>
      <c r="Y135" s="176">
        <f>X135*E135</f>
        <v>0</v>
      </c>
      <c r="Z135" s="176">
        <v>0</v>
      </c>
      <c r="AA135" s="176">
        <v>0</v>
      </c>
      <c r="AB135" s="176">
        <f>S135*E135</f>
        <v>0</v>
      </c>
      <c r="AC135" s="176">
        <f>X135*E135</f>
        <v>0</v>
      </c>
      <c r="AD135" s="267">
        <f t="shared" ref="AD135" si="156">X135-AB135</f>
        <v>9.4050000000000011</v>
      </c>
      <c r="AE135" s="133"/>
      <c r="AF135" s="133"/>
      <c r="AG135" s="133"/>
      <c r="AH135" s="133"/>
    </row>
    <row r="136" spans="1:395" s="28" customFormat="1" ht="15" customHeight="1" x14ac:dyDescent="0.25">
      <c r="A136" s="135"/>
      <c r="B136" s="291" t="s">
        <v>1003</v>
      </c>
      <c r="C136" s="401">
        <v>7898670767247</v>
      </c>
      <c r="D136" s="291" t="s">
        <v>1017</v>
      </c>
      <c r="E136" s="402">
        <v>0</v>
      </c>
      <c r="F136" s="403">
        <f>IF($D$8="A VISTA",Planilha2!B121,Planilha2!B121)</f>
        <v>9.9</v>
      </c>
      <c r="G136" s="416">
        <v>0</v>
      </c>
      <c r="H136" s="403">
        <f>IFERROR(F136*(1+G136),#REF!)</f>
        <v>9.9</v>
      </c>
      <c r="I136" s="403">
        <f>F136*E136</f>
        <v>0</v>
      </c>
      <c r="J136" s="405">
        <f>SUM(E136*H136)</f>
        <v>0</v>
      </c>
      <c r="K136" s="176">
        <f>IF($D$8="A VISTA",Planilha2!C121,Planilha2!C121)</f>
        <v>9.4050000000000011</v>
      </c>
      <c r="L136" s="176">
        <f>K136*G136+K136</f>
        <v>9.4050000000000011</v>
      </c>
      <c r="M136" s="176">
        <f>K136*E136</f>
        <v>0</v>
      </c>
      <c r="N136" s="176">
        <f>L136*E136</f>
        <v>0</v>
      </c>
      <c r="O136" s="140"/>
      <c r="P136" s="176"/>
      <c r="Q136" s="171"/>
      <c r="R136" s="172">
        <f>F136</f>
        <v>9.9</v>
      </c>
      <c r="S136" s="172">
        <f>H136</f>
        <v>9.9</v>
      </c>
      <c r="T136" s="172">
        <f>J136</f>
        <v>0</v>
      </c>
      <c r="U136" s="172">
        <f t="shared" si="153"/>
        <v>0.49500000000000005</v>
      </c>
      <c r="V136" s="172">
        <f t="shared" si="154"/>
        <v>9.4050000000000011</v>
      </c>
      <c r="W136" s="172">
        <f t="shared" si="155"/>
        <v>0.49500000000000005</v>
      </c>
      <c r="X136" s="172">
        <f>L136</f>
        <v>9.4050000000000011</v>
      </c>
      <c r="Y136" s="176">
        <f>X136*E136</f>
        <v>0</v>
      </c>
      <c r="Z136" s="176">
        <v>0</v>
      </c>
      <c r="AA136" s="176">
        <v>0</v>
      </c>
      <c r="AB136" s="176">
        <f>S136*E136</f>
        <v>0</v>
      </c>
      <c r="AC136" s="176">
        <f>X136*E136</f>
        <v>0</v>
      </c>
      <c r="AD136" s="267">
        <f t="shared" ref="AD136" si="157">X136-AB136</f>
        <v>9.4050000000000011</v>
      </c>
      <c r="AE136" s="133"/>
      <c r="AF136" s="133"/>
      <c r="AG136" s="133"/>
      <c r="AH136" s="133"/>
    </row>
    <row r="137" spans="1:395" ht="15" customHeight="1" x14ac:dyDescent="0.25">
      <c r="A137" s="135"/>
      <c r="B137" s="157" t="s">
        <v>12</v>
      </c>
      <c r="C137" s="158" t="s">
        <v>13</v>
      </c>
      <c r="D137" s="160" t="s">
        <v>242</v>
      </c>
      <c r="E137" s="160" t="s">
        <v>15</v>
      </c>
      <c r="F137" s="161" t="s">
        <v>607</v>
      </c>
      <c r="G137" s="162" t="s">
        <v>500</v>
      </c>
      <c r="H137" s="161" t="s">
        <v>609</v>
      </c>
      <c r="I137" s="161" t="s">
        <v>615</v>
      </c>
      <c r="J137" s="161" t="s">
        <v>16</v>
      </c>
      <c r="K137" s="161" t="s">
        <v>606</v>
      </c>
      <c r="L137" s="162" t="s">
        <v>908</v>
      </c>
      <c r="M137" s="161" t="s">
        <v>615</v>
      </c>
      <c r="N137" s="161" t="s">
        <v>16</v>
      </c>
      <c r="O137" s="140"/>
      <c r="P137" s="161" t="s">
        <v>853</v>
      </c>
      <c r="Q137" s="161" t="s">
        <v>606</v>
      </c>
      <c r="R137" s="162" t="s">
        <v>910</v>
      </c>
      <c r="S137" s="162" t="s">
        <v>891</v>
      </c>
      <c r="T137" s="162" t="s">
        <v>892</v>
      </c>
      <c r="U137" s="163" t="s">
        <v>894</v>
      </c>
      <c r="V137" s="162" t="s">
        <v>870</v>
      </c>
      <c r="W137" s="163" t="s">
        <v>895</v>
      </c>
      <c r="X137" s="162" t="s">
        <v>893</v>
      </c>
      <c r="Y137" s="161" t="s">
        <v>596</v>
      </c>
      <c r="Z137" s="161" t="s">
        <v>861</v>
      </c>
      <c r="AA137" s="161" t="s">
        <v>860</v>
      </c>
      <c r="AB137" s="161" t="s">
        <v>859</v>
      </c>
      <c r="AC137" s="161" t="s">
        <v>858</v>
      </c>
      <c r="AD137" s="161" t="s">
        <v>874</v>
      </c>
      <c r="AE137" s="133"/>
      <c r="AF137" s="133"/>
      <c r="AG137" s="133"/>
      <c r="AH137" s="133"/>
    </row>
    <row r="138" spans="1:395" ht="15" customHeight="1" x14ac:dyDescent="0.25">
      <c r="A138" s="135"/>
      <c r="B138" s="65" t="s">
        <v>902</v>
      </c>
      <c r="C138" s="62" t="s">
        <v>138</v>
      </c>
      <c r="D138" s="66" t="s">
        <v>243</v>
      </c>
      <c r="E138" s="175">
        <v>0</v>
      </c>
      <c r="F138" s="204">
        <f>IF($D$8="A VISTA",Planilha2!B123,Planilha2!B123)</f>
        <v>37.9</v>
      </c>
      <c r="G138" s="205">
        <v>7.8E-2</v>
      </c>
      <c r="H138" s="204">
        <f>IFERROR(F138*(1+G138),#REF!)</f>
        <v>40.856200000000001</v>
      </c>
      <c r="I138" s="204">
        <f>F138*E138</f>
        <v>0</v>
      </c>
      <c r="J138" s="206">
        <f>SUM(E138*H138)</f>
        <v>0</v>
      </c>
      <c r="K138" s="182">
        <f>IF($D$8="A VISTA",Planilha2!C123,Planilha2!C123)</f>
        <v>36.004999999999995</v>
      </c>
      <c r="L138" s="207">
        <f>K138*G138+K138</f>
        <v>38.813389999999998</v>
      </c>
      <c r="M138" s="182">
        <f>K138*E138</f>
        <v>0</v>
      </c>
      <c r="N138" s="182">
        <f>L138*E138</f>
        <v>0</v>
      </c>
      <c r="O138" s="139"/>
      <c r="P138" s="182">
        <f>H138</f>
        <v>40.856200000000001</v>
      </c>
      <c r="Q138" s="182">
        <f>L138</f>
        <v>38.813389999999998</v>
      </c>
      <c r="R138" s="199">
        <f>F138</f>
        <v>37.9</v>
      </c>
      <c r="S138" s="199">
        <f>H138</f>
        <v>40.856200000000001</v>
      </c>
      <c r="T138" s="199">
        <f>J138</f>
        <v>0</v>
      </c>
      <c r="U138" s="199">
        <f t="shared" ref="U138:U141" si="158">R138*5%</f>
        <v>1.895</v>
      </c>
      <c r="V138" s="199">
        <f t="shared" ref="V138:V141" si="159">R138-U138</f>
        <v>36.004999999999995</v>
      </c>
      <c r="W138" s="199">
        <f t="shared" ref="W138:W141" si="160">S138*5%</f>
        <v>2.0428100000000002</v>
      </c>
      <c r="X138" s="199">
        <f>L138</f>
        <v>38.813389999999998</v>
      </c>
      <c r="Y138" s="182">
        <f>X138*E138</f>
        <v>0</v>
      </c>
      <c r="Z138" s="207">
        <v>0</v>
      </c>
      <c r="AA138" s="182">
        <v>0</v>
      </c>
      <c r="AB138" s="182">
        <f>S138*E138</f>
        <v>0</v>
      </c>
      <c r="AC138" s="207">
        <f>X138*E138</f>
        <v>0</v>
      </c>
      <c r="AD138" s="173">
        <f t="shared" si="112"/>
        <v>38.813389999999998</v>
      </c>
      <c r="AE138" s="133"/>
      <c r="AF138" s="133"/>
      <c r="AG138" s="133"/>
      <c r="AH138" s="133"/>
    </row>
    <row r="139" spans="1:395" ht="15" customHeight="1" x14ac:dyDescent="0.25">
      <c r="A139" s="135"/>
      <c r="B139" s="65" t="s">
        <v>140</v>
      </c>
      <c r="C139" s="62" t="s">
        <v>141</v>
      </c>
      <c r="D139" s="66" t="s">
        <v>244</v>
      </c>
      <c r="E139" s="175">
        <v>0</v>
      </c>
      <c r="F139" s="204">
        <f>IF($D$8="A VISTA",Planilha2!B124,Planilha2!B124)</f>
        <v>49.9</v>
      </c>
      <c r="G139" s="205">
        <v>7.8E-2</v>
      </c>
      <c r="H139" s="204">
        <f>IFERROR(F139*(1+G139),#REF!)</f>
        <v>53.792200000000001</v>
      </c>
      <c r="I139" s="204">
        <f>F139*E139</f>
        <v>0</v>
      </c>
      <c r="J139" s="206">
        <f>SUM(E139*H139)</f>
        <v>0</v>
      </c>
      <c r="K139" s="182">
        <f>IF($D$8="A VISTA",Planilha2!C124,Planilha2!C124)</f>
        <v>47.405000000000001</v>
      </c>
      <c r="L139" s="207">
        <f>K139*G139+K139</f>
        <v>51.102589999999999</v>
      </c>
      <c r="M139" s="182">
        <f>K139*E139</f>
        <v>0</v>
      </c>
      <c r="N139" s="182">
        <f>L139*E139</f>
        <v>0</v>
      </c>
      <c r="O139" s="139"/>
      <c r="P139" s="182">
        <f>H139</f>
        <v>53.792200000000001</v>
      </c>
      <c r="Q139" s="182">
        <f>L139</f>
        <v>51.102589999999999</v>
      </c>
      <c r="R139" s="199">
        <f>F139</f>
        <v>49.9</v>
      </c>
      <c r="S139" s="199">
        <f>H139</f>
        <v>53.792200000000001</v>
      </c>
      <c r="T139" s="199">
        <f>J139</f>
        <v>0</v>
      </c>
      <c r="U139" s="199">
        <f t="shared" si="158"/>
        <v>2.4950000000000001</v>
      </c>
      <c r="V139" s="199">
        <f t="shared" si="159"/>
        <v>47.405000000000001</v>
      </c>
      <c r="W139" s="199">
        <f t="shared" si="160"/>
        <v>2.6896100000000001</v>
      </c>
      <c r="X139" s="199">
        <f>L139</f>
        <v>51.102589999999999</v>
      </c>
      <c r="Y139" s="182">
        <f>X139*E139</f>
        <v>0</v>
      </c>
      <c r="Z139" s="207">
        <v>0</v>
      </c>
      <c r="AA139" s="182">
        <v>0</v>
      </c>
      <c r="AB139" s="182">
        <f>S139*E139</f>
        <v>0</v>
      </c>
      <c r="AC139" s="207">
        <f>X139*E139</f>
        <v>0</v>
      </c>
      <c r="AD139" s="173">
        <f t="shared" si="112"/>
        <v>51.102589999999999</v>
      </c>
      <c r="AE139" s="133"/>
      <c r="AF139" s="133"/>
      <c r="AG139" s="133"/>
      <c r="AH139" s="133"/>
    </row>
    <row r="140" spans="1:395" s="98" customFormat="1" ht="15" customHeight="1" x14ac:dyDescent="0.25">
      <c r="A140" s="135"/>
      <c r="B140" s="65" t="s">
        <v>143</v>
      </c>
      <c r="C140" s="65" t="s">
        <v>144</v>
      </c>
      <c r="D140" s="65" t="s">
        <v>276</v>
      </c>
      <c r="E140" s="175">
        <v>0</v>
      </c>
      <c r="F140" s="204">
        <f>IF($D$8="A VISTA",Planilha2!B125,Planilha2!B125)</f>
        <v>49.9</v>
      </c>
      <c r="G140" s="205">
        <v>7.8E-2</v>
      </c>
      <c r="H140" s="204">
        <f>IFERROR(F140*(1+G140),#REF!)</f>
        <v>53.792200000000001</v>
      </c>
      <c r="I140" s="204">
        <f>F140*E140</f>
        <v>0</v>
      </c>
      <c r="J140" s="206">
        <f>SUM(E140*H140)</f>
        <v>0</v>
      </c>
      <c r="K140" s="178">
        <f>Planilha2!B125</f>
        <v>49.9</v>
      </c>
      <c r="L140" s="179">
        <f>K140*G140+K140</f>
        <v>53.792200000000001</v>
      </c>
      <c r="M140" s="178">
        <f>K140*E140</f>
        <v>0</v>
      </c>
      <c r="N140" s="178">
        <f>L140*E140</f>
        <v>0</v>
      </c>
      <c r="O140" s="139"/>
      <c r="P140" s="182">
        <f>H140</f>
        <v>53.792200000000001</v>
      </c>
      <c r="Q140" s="182">
        <f>L140</f>
        <v>53.792200000000001</v>
      </c>
      <c r="R140" s="188">
        <f>PROMO!C95</f>
        <v>49.9</v>
      </c>
      <c r="S140" s="188">
        <f>R140+R140*G140</f>
        <v>53.792200000000001</v>
      </c>
      <c r="T140" s="188">
        <f>E140*S140</f>
        <v>0</v>
      </c>
      <c r="U140" s="199">
        <f t="shared" si="158"/>
        <v>2.4950000000000001</v>
      </c>
      <c r="V140" s="188">
        <f t="shared" si="159"/>
        <v>47.405000000000001</v>
      </c>
      <c r="W140" s="199">
        <f t="shared" si="160"/>
        <v>2.6896100000000001</v>
      </c>
      <c r="X140" s="188">
        <f>S140-W140</f>
        <v>51.102589999999999</v>
      </c>
      <c r="Y140" s="182">
        <f>X140*E140</f>
        <v>0</v>
      </c>
      <c r="Z140" s="182">
        <f>S140*E140</f>
        <v>0</v>
      </c>
      <c r="AA140" s="182">
        <f>Z140*5%</f>
        <v>0</v>
      </c>
      <c r="AB140" s="182">
        <f>S140*E140</f>
        <v>0</v>
      </c>
      <c r="AC140" s="178">
        <f>X140*E140</f>
        <v>0</v>
      </c>
      <c r="AD140" s="197">
        <f t="shared" si="112"/>
        <v>51.102589999999999</v>
      </c>
      <c r="AE140" s="133"/>
      <c r="AF140" s="133"/>
      <c r="AG140" s="133"/>
      <c r="AH140" s="133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  <c r="IO140" s="28"/>
      <c r="IP140" s="28"/>
      <c r="IQ140" s="28"/>
      <c r="IR140" s="28"/>
      <c r="IS140" s="28"/>
      <c r="IT140" s="28"/>
      <c r="IU140" s="28"/>
      <c r="IV140" s="28"/>
      <c r="IW140" s="28"/>
      <c r="IX140" s="28"/>
      <c r="IY140" s="28"/>
      <c r="IZ140" s="28"/>
      <c r="JA140" s="28"/>
      <c r="JB140" s="28"/>
      <c r="JC140" s="28"/>
      <c r="JD140" s="28"/>
      <c r="JE140" s="28"/>
      <c r="JF140" s="28"/>
      <c r="JG140" s="28"/>
      <c r="JH140" s="28"/>
      <c r="JI140" s="28"/>
      <c r="JJ140" s="28"/>
      <c r="JK140" s="28"/>
      <c r="JL140" s="28"/>
      <c r="JM140" s="28"/>
      <c r="JN140" s="28"/>
      <c r="JO140" s="28"/>
      <c r="JP140" s="28"/>
      <c r="JQ140" s="28"/>
      <c r="JR140" s="28"/>
      <c r="JS140" s="28"/>
      <c r="JT140" s="28"/>
      <c r="JU140" s="28"/>
      <c r="JV140" s="28"/>
      <c r="JW140" s="28"/>
      <c r="JX140" s="28"/>
      <c r="JY140" s="28"/>
      <c r="JZ140" s="28"/>
      <c r="KA140" s="28"/>
      <c r="KB140" s="28"/>
      <c r="KC140" s="28"/>
      <c r="KD140" s="28"/>
      <c r="KE140" s="28"/>
      <c r="KF140" s="28"/>
      <c r="KG140" s="28"/>
      <c r="KH140" s="28"/>
      <c r="KI140" s="28"/>
      <c r="KJ140" s="28"/>
      <c r="KK140" s="28"/>
      <c r="KL140" s="28"/>
      <c r="KM140" s="28"/>
      <c r="KN140" s="28"/>
      <c r="KO140" s="28"/>
      <c r="KP140" s="28"/>
      <c r="KQ140" s="28"/>
      <c r="KR140" s="28"/>
      <c r="KS140" s="28"/>
      <c r="KT140" s="28"/>
      <c r="KU140" s="28"/>
      <c r="KV140" s="28"/>
      <c r="KW140" s="28"/>
      <c r="KX140" s="28"/>
      <c r="KY140" s="28"/>
      <c r="KZ140" s="28"/>
      <c r="LA140" s="28"/>
      <c r="LB140" s="28"/>
      <c r="LC140" s="28"/>
      <c r="LD140" s="28"/>
      <c r="LE140" s="28"/>
      <c r="LF140" s="28"/>
      <c r="LG140" s="28"/>
      <c r="LH140" s="28"/>
      <c r="LI140" s="28"/>
      <c r="LJ140" s="28"/>
      <c r="LK140" s="28"/>
      <c r="LL140" s="28"/>
      <c r="LM140" s="28"/>
      <c r="LN140" s="28"/>
      <c r="LO140" s="28"/>
      <c r="LP140" s="28"/>
      <c r="LQ140" s="28"/>
      <c r="LR140" s="28"/>
      <c r="LS140" s="28"/>
      <c r="LT140" s="28"/>
      <c r="LU140" s="28"/>
      <c r="LV140" s="28"/>
      <c r="LW140" s="28"/>
      <c r="LX140" s="28"/>
      <c r="LY140" s="28"/>
      <c r="LZ140" s="28"/>
      <c r="MA140" s="28"/>
      <c r="MB140" s="28"/>
      <c r="MC140" s="28"/>
      <c r="MD140" s="28"/>
      <c r="ME140" s="28"/>
      <c r="MF140" s="28"/>
      <c r="MG140" s="28"/>
      <c r="MH140" s="28"/>
      <c r="MI140" s="28"/>
      <c r="MJ140" s="28"/>
      <c r="MK140" s="28"/>
      <c r="ML140" s="28"/>
      <c r="MM140" s="28"/>
      <c r="MN140" s="28"/>
      <c r="MO140" s="28"/>
      <c r="MP140" s="28"/>
      <c r="MQ140" s="28"/>
      <c r="MR140" s="28"/>
      <c r="MS140" s="28"/>
      <c r="MT140" s="28"/>
      <c r="MU140" s="28"/>
      <c r="MV140" s="28"/>
      <c r="MW140" s="28"/>
      <c r="MX140" s="28"/>
      <c r="MY140" s="28"/>
      <c r="MZ140" s="28"/>
      <c r="NA140" s="28"/>
      <c r="NB140" s="28"/>
      <c r="NC140" s="28"/>
      <c r="ND140" s="28"/>
      <c r="NE140" s="28"/>
      <c r="NF140" s="28"/>
      <c r="NG140" s="28"/>
      <c r="NH140" s="28"/>
      <c r="NI140" s="28"/>
      <c r="NJ140" s="28"/>
      <c r="NK140" s="28"/>
      <c r="NL140" s="28"/>
      <c r="NM140" s="28"/>
      <c r="NN140" s="28"/>
      <c r="NO140" s="28"/>
      <c r="NP140" s="28"/>
      <c r="NQ140" s="28"/>
      <c r="NR140" s="28"/>
      <c r="NS140" s="28"/>
      <c r="NT140" s="28"/>
      <c r="NU140" s="28"/>
      <c r="NV140" s="28"/>
      <c r="NW140" s="28"/>
      <c r="NX140" s="28"/>
      <c r="NY140" s="28"/>
      <c r="NZ140" s="28"/>
      <c r="OA140" s="28"/>
      <c r="OB140" s="28"/>
      <c r="OC140" s="28"/>
      <c r="OD140" s="28"/>
      <c r="OE140" s="28"/>
    </row>
    <row r="141" spans="1:395" ht="15" customHeight="1" x14ac:dyDescent="0.25">
      <c r="A141" s="135"/>
      <c r="B141" s="65" t="s">
        <v>884</v>
      </c>
      <c r="C141" s="203">
        <v>7898670766592</v>
      </c>
      <c r="D141" s="66" t="s">
        <v>1249</v>
      </c>
      <c r="E141" s="175">
        <v>0</v>
      </c>
      <c r="F141" s="204">
        <f>IF($D$8="A VISTA",Planilha2!B126,Planilha2!B126)</f>
        <v>36.9</v>
      </c>
      <c r="G141" s="205">
        <v>7.8E-2</v>
      </c>
      <c r="H141" s="204">
        <f>IFERROR(F141*(1+G141),#REF!)</f>
        <v>39.778199999999998</v>
      </c>
      <c r="I141" s="204">
        <f>F141*E141</f>
        <v>0</v>
      </c>
      <c r="J141" s="206">
        <f>SUM(E141*H141)</f>
        <v>0</v>
      </c>
      <c r="K141" s="182">
        <f>IF($D$8="A VISTA",Planilha2!C126,Planilha2!C126)</f>
        <v>35.055</v>
      </c>
      <c r="L141" s="207">
        <f>K141*G141+K141</f>
        <v>37.789290000000001</v>
      </c>
      <c r="M141" s="182">
        <f>K141*E141</f>
        <v>0</v>
      </c>
      <c r="N141" s="182">
        <f>L141*E141</f>
        <v>0</v>
      </c>
      <c r="O141" s="139"/>
      <c r="P141" s="182">
        <f>H141</f>
        <v>39.778199999999998</v>
      </c>
      <c r="Q141" s="182">
        <f>L141</f>
        <v>37.789290000000001</v>
      </c>
      <c r="R141" s="199">
        <f>F141</f>
        <v>36.9</v>
      </c>
      <c r="S141" s="199">
        <f>H141</f>
        <v>39.778199999999998</v>
      </c>
      <c r="T141" s="199">
        <f>J141</f>
        <v>0</v>
      </c>
      <c r="U141" s="199">
        <f t="shared" si="158"/>
        <v>1.845</v>
      </c>
      <c r="V141" s="199">
        <f t="shared" si="159"/>
        <v>35.055</v>
      </c>
      <c r="W141" s="199">
        <f t="shared" si="160"/>
        <v>1.98891</v>
      </c>
      <c r="X141" s="199">
        <f>L141</f>
        <v>37.789290000000001</v>
      </c>
      <c r="Y141" s="182">
        <f>X141*E141</f>
        <v>0</v>
      </c>
      <c r="Z141" s="182"/>
      <c r="AA141" s="182">
        <v>0</v>
      </c>
      <c r="AB141" s="182">
        <f>S141*E141</f>
        <v>0</v>
      </c>
      <c r="AC141" s="65">
        <f>X141*E141</f>
        <v>0</v>
      </c>
      <c r="AD141" s="173">
        <f t="shared" si="112"/>
        <v>37.789290000000001</v>
      </c>
      <c r="AE141" s="133"/>
      <c r="AF141" s="133"/>
      <c r="AG141" s="133"/>
      <c r="AH141" s="133"/>
    </row>
    <row r="142" spans="1:395" ht="15" customHeight="1" x14ac:dyDescent="0.25">
      <c r="A142" s="135"/>
      <c r="B142" s="157" t="s">
        <v>12</v>
      </c>
      <c r="C142" s="158" t="s">
        <v>13</v>
      </c>
      <c r="D142" s="134" t="s">
        <v>196</v>
      </c>
      <c r="E142" s="160" t="s">
        <v>15</v>
      </c>
      <c r="F142" s="161" t="s">
        <v>607</v>
      </c>
      <c r="G142" s="162" t="s">
        <v>500</v>
      </c>
      <c r="H142" s="161" t="s">
        <v>609</v>
      </c>
      <c r="I142" s="161" t="s">
        <v>615</v>
      </c>
      <c r="J142" s="161" t="s">
        <v>16</v>
      </c>
      <c r="K142" s="161" t="s">
        <v>606</v>
      </c>
      <c r="L142" s="162" t="s">
        <v>908</v>
      </c>
      <c r="M142" s="161" t="s">
        <v>615</v>
      </c>
      <c r="N142" s="161" t="s">
        <v>16</v>
      </c>
      <c r="O142" s="140"/>
      <c r="P142" s="161" t="s">
        <v>853</v>
      </c>
      <c r="Q142" s="161" t="s">
        <v>606</v>
      </c>
      <c r="R142" s="162" t="s">
        <v>910</v>
      </c>
      <c r="S142" s="162" t="s">
        <v>891</v>
      </c>
      <c r="T142" s="162" t="s">
        <v>892</v>
      </c>
      <c r="U142" s="163" t="s">
        <v>894</v>
      </c>
      <c r="V142" s="162" t="s">
        <v>870</v>
      </c>
      <c r="W142" s="163" t="s">
        <v>895</v>
      </c>
      <c r="X142" s="162" t="s">
        <v>893</v>
      </c>
      <c r="Y142" s="161" t="s">
        <v>596</v>
      </c>
      <c r="Z142" s="161" t="s">
        <v>861</v>
      </c>
      <c r="AA142" s="161" t="s">
        <v>860</v>
      </c>
      <c r="AB142" s="161" t="s">
        <v>859</v>
      </c>
      <c r="AC142" s="161" t="s">
        <v>858</v>
      </c>
      <c r="AD142" s="161" t="s">
        <v>874</v>
      </c>
      <c r="AE142" s="133"/>
      <c r="AF142" s="133"/>
      <c r="AG142" s="133"/>
      <c r="AH142" s="133"/>
    </row>
    <row r="143" spans="1:395" ht="15" customHeight="1" x14ac:dyDescent="0.25">
      <c r="A143" s="135"/>
      <c r="B143" s="305" t="s">
        <v>148</v>
      </c>
      <c r="C143" s="177">
        <v>7898670762945</v>
      </c>
      <c r="D143" s="321" t="s">
        <v>897</v>
      </c>
      <c r="E143" s="300">
        <v>0</v>
      </c>
      <c r="F143" s="301">
        <f>IF($D$8="A VISTA",Planilha2!B128,Planilha2!B128)</f>
        <v>269</v>
      </c>
      <c r="G143" s="302">
        <v>7.8E-2</v>
      </c>
      <c r="H143" s="301">
        <f>IFERROR(F143*(1+G143),#REF!)</f>
        <v>289.98200000000003</v>
      </c>
      <c r="I143" s="301">
        <f>F143*E143</f>
        <v>0</v>
      </c>
      <c r="J143" s="303">
        <f>SUM(E143*H143)</f>
        <v>0</v>
      </c>
      <c r="K143" s="170">
        <f>IF($D$8="A VISTA",Planilha2!C128,Planilha2!C128)</f>
        <v>255.55</v>
      </c>
      <c r="L143" s="207">
        <f>K143*G143+K143</f>
        <v>275.48290000000003</v>
      </c>
      <c r="M143" s="170">
        <f>K143*E143</f>
        <v>0</v>
      </c>
      <c r="N143" s="170">
        <f>L143*E143</f>
        <v>0</v>
      </c>
      <c r="O143" s="140"/>
      <c r="P143" s="170">
        <f>H143</f>
        <v>289.98200000000003</v>
      </c>
      <c r="Q143" s="170">
        <f>L143</f>
        <v>275.48290000000003</v>
      </c>
      <c r="R143" s="199">
        <f>F143</f>
        <v>269</v>
      </c>
      <c r="S143" s="172">
        <f>H143</f>
        <v>289.98200000000003</v>
      </c>
      <c r="T143" s="172">
        <f>J143</f>
        <v>0</v>
      </c>
      <c r="U143" s="172">
        <f t="shared" ref="U143:U146" si="161">R143*5%</f>
        <v>13.450000000000001</v>
      </c>
      <c r="V143" s="172">
        <f t="shared" ref="V143:V146" si="162">R143-U143</f>
        <v>255.55</v>
      </c>
      <c r="W143" s="172">
        <f t="shared" ref="W143:W146" si="163">S143*5%</f>
        <v>14.499100000000002</v>
      </c>
      <c r="X143" s="199">
        <f>L143</f>
        <v>275.48290000000003</v>
      </c>
      <c r="Y143" s="170">
        <f>X143*E143</f>
        <v>0</v>
      </c>
      <c r="Z143" s="171">
        <v>0</v>
      </c>
      <c r="AA143" s="170">
        <v>0</v>
      </c>
      <c r="AB143" s="170">
        <f>S143*E143</f>
        <v>0</v>
      </c>
      <c r="AC143" s="171">
        <f>X143*E143</f>
        <v>0</v>
      </c>
      <c r="AD143" s="173">
        <f t="shared" si="112"/>
        <v>275.48290000000003</v>
      </c>
      <c r="AE143" s="133"/>
      <c r="AF143" s="133"/>
      <c r="AG143" s="133"/>
      <c r="AH143" s="133"/>
    </row>
    <row r="144" spans="1:395" ht="15" customHeight="1" x14ac:dyDescent="0.25">
      <c r="A144" s="135"/>
      <c r="B144" s="305" t="s">
        <v>149</v>
      </c>
      <c r="C144" s="321" t="s">
        <v>150</v>
      </c>
      <c r="D144" s="321" t="s">
        <v>896</v>
      </c>
      <c r="E144" s="300">
        <v>0</v>
      </c>
      <c r="F144" s="301">
        <f>IF($D$8="A VISTA",Planilha2!B129,Planilha2!B129)</f>
        <v>269</v>
      </c>
      <c r="G144" s="302">
        <v>7.8E-2</v>
      </c>
      <c r="H144" s="301">
        <f>IFERROR(F144*(1+G144),#REF!)</f>
        <v>289.98200000000003</v>
      </c>
      <c r="I144" s="301">
        <f>F144*E144</f>
        <v>0</v>
      </c>
      <c r="J144" s="303">
        <f>SUM(E144*H144)</f>
        <v>0</v>
      </c>
      <c r="K144" s="170">
        <f>IF($D$8="A VISTA",Planilha2!C129,Planilha2!C129)</f>
        <v>255.55</v>
      </c>
      <c r="L144" s="171">
        <f>K144*G144+K144</f>
        <v>275.48290000000003</v>
      </c>
      <c r="M144" s="170">
        <f>K144*E144</f>
        <v>0</v>
      </c>
      <c r="N144" s="170">
        <f>L144*E144</f>
        <v>0</v>
      </c>
      <c r="O144" s="140"/>
      <c r="P144" s="170">
        <f>H144</f>
        <v>289.98200000000003</v>
      </c>
      <c r="Q144" s="170">
        <f>L144</f>
        <v>275.48290000000003</v>
      </c>
      <c r="R144" s="172">
        <f>F144</f>
        <v>269</v>
      </c>
      <c r="S144" s="172">
        <f>H144</f>
        <v>289.98200000000003</v>
      </c>
      <c r="T144" s="172">
        <f>J144</f>
        <v>0</v>
      </c>
      <c r="U144" s="172">
        <f t="shared" si="161"/>
        <v>13.450000000000001</v>
      </c>
      <c r="V144" s="172">
        <f t="shared" si="162"/>
        <v>255.55</v>
      </c>
      <c r="W144" s="172">
        <f t="shared" si="163"/>
        <v>14.499100000000002</v>
      </c>
      <c r="X144" s="172">
        <f>L144</f>
        <v>275.48290000000003</v>
      </c>
      <c r="Y144" s="170">
        <f>X144*E144</f>
        <v>0</v>
      </c>
      <c r="Z144" s="171">
        <v>0</v>
      </c>
      <c r="AA144" s="170">
        <v>0</v>
      </c>
      <c r="AB144" s="170">
        <f>S144*E144</f>
        <v>0</v>
      </c>
      <c r="AC144" s="171">
        <f>X144*E144</f>
        <v>0</v>
      </c>
      <c r="AD144" s="173">
        <f t="shared" si="112"/>
        <v>275.48290000000003</v>
      </c>
      <c r="AE144" s="133"/>
      <c r="AF144" s="133"/>
      <c r="AG144" s="133"/>
      <c r="AH144" s="133"/>
    </row>
    <row r="145" spans="1:34" ht="15" customHeight="1" x14ac:dyDescent="0.25">
      <c r="A145" s="135"/>
      <c r="B145" s="305" t="s">
        <v>151</v>
      </c>
      <c r="C145" s="381">
        <v>7898670762907</v>
      </c>
      <c r="D145" s="321" t="s">
        <v>963</v>
      </c>
      <c r="E145" s="300">
        <v>0</v>
      </c>
      <c r="F145" s="301">
        <f>IF($D$8="A VISTA",Planilha2!B130,Planilha2!B130)</f>
        <v>269</v>
      </c>
      <c r="G145" s="302">
        <v>7.8E-2</v>
      </c>
      <c r="H145" s="301">
        <f>IFERROR(F145*(1+G145),#REF!)</f>
        <v>289.98200000000003</v>
      </c>
      <c r="I145" s="301">
        <f>F145*E145</f>
        <v>0</v>
      </c>
      <c r="J145" s="303">
        <f>SUM(E145*H145)</f>
        <v>0</v>
      </c>
      <c r="K145" s="170">
        <f>IF($D$8="A VISTA",Planilha2!C130,Planilha2!C130)</f>
        <v>255.55</v>
      </c>
      <c r="L145" s="171">
        <f>K145*G145+K145</f>
        <v>275.48290000000003</v>
      </c>
      <c r="M145" s="170">
        <f>K145*E145</f>
        <v>0</v>
      </c>
      <c r="N145" s="170">
        <f>L145*E145</f>
        <v>0</v>
      </c>
      <c r="O145" s="140"/>
      <c r="P145" s="170">
        <f>H145</f>
        <v>289.98200000000003</v>
      </c>
      <c r="Q145" s="170">
        <f>L145</f>
        <v>275.48290000000003</v>
      </c>
      <c r="R145" s="172">
        <f>F145</f>
        <v>269</v>
      </c>
      <c r="S145" s="172">
        <f>H145</f>
        <v>289.98200000000003</v>
      </c>
      <c r="T145" s="172">
        <f>J145</f>
        <v>0</v>
      </c>
      <c r="U145" s="172">
        <f t="shared" si="161"/>
        <v>13.450000000000001</v>
      </c>
      <c r="V145" s="172">
        <f t="shared" si="162"/>
        <v>255.55</v>
      </c>
      <c r="W145" s="172">
        <f t="shared" si="163"/>
        <v>14.499100000000002</v>
      </c>
      <c r="X145" s="172">
        <f>L145</f>
        <v>275.48290000000003</v>
      </c>
      <c r="Y145" s="170">
        <f>X145*E145</f>
        <v>0</v>
      </c>
      <c r="Z145" s="171">
        <v>0</v>
      </c>
      <c r="AA145" s="170">
        <v>0</v>
      </c>
      <c r="AB145" s="170">
        <f>S145*E145</f>
        <v>0</v>
      </c>
      <c r="AC145" s="171">
        <f>X145*E145</f>
        <v>0</v>
      </c>
      <c r="AD145" s="173">
        <f t="shared" si="112"/>
        <v>275.48290000000003</v>
      </c>
      <c r="AE145" s="133"/>
      <c r="AF145" s="133"/>
      <c r="AG145" s="133"/>
      <c r="AH145" s="133"/>
    </row>
    <row r="146" spans="1:34" ht="15.6" customHeight="1" x14ac:dyDescent="0.25">
      <c r="A146" s="135"/>
      <c r="B146" s="305" t="s">
        <v>152</v>
      </c>
      <c r="C146" s="321" t="s">
        <v>153</v>
      </c>
      <c r="D146" s="321" t="s">
        <v>964</v>
      </c>
      <c r="E146" s="300">
        <v>0</v>
      </c>
      <c r="F146" s="301">
        <f>IF($D$8="A VISTA",Planilha2!B131,Planilha2!B131)</f>
        <v>269</v>
      </c>
      <c r="G146" s="302">
        <v>7.8E-2</v>
      </c>
      <c r="H146" s="301">
        <f>IFERROR(F146*(1+G146),#REF!)</f>
        <v>289.98200000000003</v>
      </c>
      <c r="I146" s="301">
        <f>F146*E146</f>
        <v>0</v>
      </c>
      <c r="J146" s="303">
        <f>SUM(E146*H146)</f>
        <v>0</v>
      </c>
      <c r="K146" s="170">
        <f>IF($D$8="A VISTA",Planilha2!C131,Planilha2!C131)</f>
        <v>255.55</v>
      </c>
      <c r="L146" s="207">
        <f>K146*G146+K146</f>
        <v>275.48290000000003</v>
      </c>
      <c r="M146" s="170">
        <f>K146*E146</f>
        <v>0</v>
      </c>
      <c r="N146" s="170">
        <f>L146*E146</f>
        <v>0</v>
      </c>
      <c r="O146" s="140"/>
      <c r="P146" s="170">
        <f>H146</f>
        <v>289.98200000000003</v>
      </c>
      <c r="Q146" s="170">
        <f>L146</f>
        <v>275.48290000000003</v>
      </c>
      <c r="R146" s="199">
        <f>F146</f>
        <v>269</v>
      </c>
      <c r="S146" s="172">
        <f>H146</f>
        <v>289.98200000000003</v>
      </c>
      <c r="T146" s="172">
        <f>J146</f>
        <v>0</v>
      </c>
      <c r="U146" s="172">
        <f t="shared" si="161"/>
        <v>13.450000000000001</v>
      </c>
      <c r="V146" s="172">
        <f t="shared" si="162"/>
        <v>255.55</v>
      </c>
      <c r="W146" s="172">
        <f t="shared" si="163"/>
        <v>14.499100000000002</v>
      </c>
      <c r="X146" s="199">
        <f>L146</f>
        <v>275.48290000000003</v>
      </c>
      <c r="Y146" s="170">
        <f>X146*E146</f>
        <v>0</v>
      </c>
      <c r="Z146" s="171">
        <v>0</v>
      </c>
      <c r="AA146" s="170">
        <v>0</v>
      </c>
      <c r="AB146" s="170">
        <f>S146*E146</f>
        <v>0</v>
      </c>
      <c r="AC146" s="171">
        <f>X146*E146</f>
        <v>0</v>
      </c>
      <c r="AD146" s="173">
        <f t="shared" si="112"/>
        <v>275.48290000000003</v>
      </c>
      <c r="AE146" s="133"/>
      <c r="AF146" s="133"/>
      <c r="AG146" s="133"/>
      <c r="AH146" s="133"/>
    </row>
    <row r="147" spans="1:34" ht="13.5" customHeight="1" x14ac:dyDescent="0.25">
      <c r="A147" s="135"/>
      <c r="B147" s="157" t="s">
        <v>12</v>
      </c>
      <c r="C147" s="158" t="s">
        <v>13</v>
      </c>
      <c r="D147" s="208" t="s">
        <v>322</v>
      </c>
      <c r="E147" s="160" t="s">
        <v>15</v>
      </c>
      <c r="F147" s="161" t="s">
        <v>607</v>
      </c>
      <c r="G147" s="162" t="s">
        <v>500</v>
      </c>
      <c r="H147" s="161" t="s">
        <v>609</v>
      </c>
      <c r="I147" s="161" t="s">
        <v>615</v>
      </c>
      <c r="J147" s="161" t="s">
        <v>16</v>
      </c>
      <c r="K147" s="161" t="s">
        <v>606</v>
      </c>
      <c r="L147" s="162" t="s">
        <v>908</v>
      </c>
      <c r="M147" s="161" t="s">
        <v>615</v>
      </c>
      <c r="N147" s="161" t="s">
        <v>16</v>
      </c>
      <c r="O147" s="140"/>
      <c r="P147" s="161" t="s">
        <v>853</v>
      </c>
      <c r="Q147" s="161" t="s">
        <v>606</v>
      </c>
      <c r="R147" s="162" t="s">
        <v>910</v>
      </c>
      <c r="S147" s="162" t="s">
        <v>891</v>
      </c>
      <c r="T147" s="162" t="s">
        <v>892</v>
      </c>
      <c r="U147" s="163" t="s">
        <v>894</v>
      </c>
      <c r="V147" s="162" t="s">
        <v>870</v>
      </c>
      <c r="W147" s="163" t="s">
        <v>895</v>
      </c>
      <c r="X147" s="162" t="s">
        <v>893</v>
      </c>
      <c r="Y147" s="161" t="s">
        <v>596</v>
      </c>
      <c r="Z147" s="161" t="s">
        <v>861</v>
      </c>
      <c r="AA147" s="161" t="s">
        <v>860</v>
      </c>
      <c r="AB147" s="161" t="s">
        <v>859</v>
      </c>
      <c r="AC147" s="161" t="s">
        <v>858</v>
      </c>
      <c r="AD147" s="161" t="s">
        <v>874</v>
      </c>
      <c r="AE147" s="133"/>
      <c r="AF147" s="133"/>
      <c r="AG147" s="133"/>
      <c r="AH147" s="133"/>
    </row>
    <row r="148" spans="1:34" ht="13.5" customHeight="1" x14ac:dyDescent="0.25">
      <c r="A148" s="135"/>
      <c r="B148" s="47" t="s">
        <v>323</v>
      </c>
      <c r="C148" s="47" t="s">
        <v>325</v>
      </c>
      <c r="D148" s="64" t="s">
        <v>965</v>
      </c>
      <c r="E148" s="175">
        <v>0</v>
      </c>
      <c r="F148" s="204">
        <f>IF($D$8="A VISTA",Planilha2!B133,Planilha2!B133)</f>
        <v>319</v>
      </c>
      <c r="G148" s="205">
        <v>7.8E-2</v>
      </c>
      <c r="H148" s="204">
        <f>IFERROR(F148*(1+G148),#REF!)</f>
        <v>343.88200000000001</v>
      </c>
      <c r="I148" s="204">
        <f>F148*E148</f>
        <v>0</v>
      </c>
      <c r="J148" s="206">
        <f>SUM(E148*H148)</f>
        <v>0</v>
      </c>
      <c r="K148" s="170">
        <f>Planilha2!C133</f>
        <v>303.05</v>
      </c>
      <c r="L148" s="207">
        <f>K148*G148+K148</f>
        <v>326.68790000000001</v>
      </c>
      <c r="M148" s="170">
        <f>K148*E148</f>
        <v>0</v>
      </c>
      <c r="N148" s="170">
        <f>L148*E148</f>
        <v>0</v>
      </c>
      <c r="O148" s="140"/>
      <c r="P148" s="170">
        <f>H148</f>
        <v>343.88200000000001</v>
      </c>
      <c r="Q148" s="170">
        <f>L148</f>
        <v>326.68790000000001</v>
      </c>
      <c r="R148" s="199">
        <f>F148</f>
        <v>319</v>
      </c>
      <c r="S148" s="172">
        <f>H148</f>
        <v>343.88200000000001</v>
      </c>
      <c r="T148" s="172">
        <f>J148</f>
        <v>0</v>
      </c>
      <c r="U148" s="172">
        <f t="shared" ref="U148:U149" si="164">R148*5%</f>
        <v>15.950000000000001</v>
      </c>
      <c r="V148" s="172">
        <f t="shared" ref="V148:V149" si="165">R148-U148</f>
        <v>303.05</v>
      </c>
      <c r="W148" s="172">
        <f t="shared" ref="W148:W149" si="166">S148*5%</f>
        <v>17.194100000000002</v>
      </c>
      <c r="X148" s="199">
        <f>L148</f>
        <v>326.68790000000001</v>
      </c>
      <c r="Y148" s="170">
        <f>X148*E148</f>
        <v>0</v>
      </c>
      <c r="Z148" s="171">
        <v>0</v>
      </c>
      <c r="AA148" s="170">
        <v>0</v>
      </c>
      <c r="AB148" s="171">
        <f>S148*E148</f>
        <v>0</v>
      </c>
      <c r="AC148" s="171">
        <f>X148*E148</f>
        <v>0</v>
      </c>
      <c r="AD148" s="173">
        <f t="shared" si="112"/>
        <v>326.68790000000001</v>
      </c>
      <c r="AE148" s="133"/>
      <c r="AF148" s="133"/>
      <c r="AG148" s="133"/>
      <c r="AH148" s="133"/>
    </row>
    <row r="149" spans="1:34" s="28" customFormat="1" ht="15" customHeight="1" x14ac:dyDescent="0.25">
      <c r="A149" s="135"/>
      <c r="B149" s="305" t="s">
        <v>568</v>
      </c>
      <c r="C149" s="305" t="s">
        <v>566</v>
      </c>
      <c r="D149" s="305" t="s">
        <v>966</v>
      </c>
      <c r="E149" s="300">
        <v>0</v>
      </c>
      <c r="F149" s="301">
        <f>IF($D$8="A VISTA",Planilha2!B134,Planilha2!B134)</f>
        <v>189</v>
      </c>
      <c r="G149" s="302">
        <v>7.8E-2</v>
      </c>
      <c r="H149" s="301">
        <f>IFERROR(F149*(1+G149),#REF!)</f>
        <v>203.74200000000002</v>
      </c>
      <c r="I149" s="167">
        <f>F149*E149</f>
        <v>0</v>
      </c>
      <c r="J149" s="303">
        <f>SUM(E149*H149)</f>
        <v>0</v>
      </c>
      <c r="K149" s="178">
        <f>Planilha2!C134</f>
        <v>179.55</v>
      </c>
      <c r="L149" s="179">
        <f>K149*G149+K149</f>
        <v>193.5549</v>
      </c>
      <c r="M149" s="178">
        <f>K149*E149</f>
        <v>0</v>
      </c>
      <c r="N149" s="178">
        <f>L149*E149</f>
        <v>0</v>
      </c>
      <c r="O149" s="140"/>
      <c r="P149" s="176">
        <f>H149</f>
        <v>203.74200000000002</v>
      </c>
      <c r="Q149" s="176">
        <f>L149</f>
        <v>193.5549</v>
      </c>
      <c r="R149" s="188">
        <f>PROMO!C202</f>
        <v>189</v>
      </c>
      <c r="S149" s="188">
        <f>R149+R149*G149</f>
        <v>203.74199999999999</v>
      </c>
      <c r="T149" s="188">
        <f>E149*S149</f>
        <v>0</v>
      </c>
      <c r="U149" s="172">
        <f t="shared" si="164"/>
        <v>9.4500000000000011</v>
      </c>
      <c r="V149" s="188">
        <f t="shared" si="165"/>
        <v>179.55</v>
      </c>
      <c r="W149" s="172">
        <f t="shared" si="166"/>
        <v>10.187100000000001</v>
      </c>
      <c r="X149" s="188">
        <f>S149-W149</f>
        <v>193.55489999999998</v>
      </c>
      <c r="Y149" s="176">
        <f>X149*E149</f>
        <v>0</v>
      </c>
      <c r="Z149" s="171">
        <v>0</v>
      </c>
      <c r="AA149" s="176">
        <v>0</v>
      </c>
      <c r="AB149" s="171">
        <f>S149*E149</f>
        <v>0</v>
      </c>
      <c r="AC149" s="179">
        <f>X149*E149</f>
        <v>0</v>
      </c>
      <c r="AD149" s="267">
        <f t="shared" si="112"/>
        <v>193.55489999999998</v>
      </c>
      <c r="AE149" s="133"/>
      <c r="AF149" s="133"/>
      <c r="AG149" s="133"/>
      <c r="AH149" s="133"/>
    </row>
    <row r="150" spans="1:34" ht="15" customHeight="1" x14ac:dyDescent="0.25">
      <c r="A150" s="135"/>
      <c r="B150" s="157" t="s">
        <v>12</v>
      </c>
      <c r="C150" s="158" t="s">
        <v>13</v>
      </c>
      <c r="D150" s="208" t="s">
        <v>326</v>
      </c>
      <c r="E150" s="160" t="s">
        <v>15</v>
      </c>
      <c r="F150" s="161" t="s">
        <v>607</v>
      </c>
      <c r="G150" s="162" t="s">
        <v>500</v>
      </c>
      <c r="H150" s="161" t="s">
        <v>609</v>
      </c>
      <c r="I150" s="161" t="s">
        <v>615</v>
      </c>
      <c r="J150" s="161" t="s">
        <v>16</v>
      </c>
      <c r="K150" s="161" t="s">
        <v>606</v>
      </c>
      <c r="L150" s="162" t="s">
        <v>908</v>
      </c>
      <c r="M150" s="161" t="s">
        <v>615</v>
      </c>
      <c r="N150" s="161" t="s">
        <v>16</v>
      </c>
      <c r="O150" s="140"/>
      <c r="P150" s="161" t="s">
        <v>853</v>
      </c>
      <c r="Q150" s="161" t="s">
        <v>606</v>
      </c>
      <c r="R150" s="162" t="s">
        <v>910</v>
      </c>
      <c r="S150" s="162" t="s">
        <v>891</v>
      </c>
      <c r="T150" s="162" t="s">
        <v>892</v>
      </c>
      <c r="U150" s="163" t="s">
        <v>894</v>
      </c>
      <c r="V150" s="162" t="s">
        <v>870</v>
      </c>
      <c r="W150" s="163" t="s">
        <v>895</v>
      </c>
      <c r="X150" s="162" t="s">
        <v>893</v>
      </c>
      <c r="Y150" s="161" t="s">
        <v>596</v>
      </c>
      <c r="Z150" s="161" t="s">
        <v>861</v>
      </c>
      <c r="AA150" s="161" t="s">
        <v>860</v>
      </c>
      <c r="AB150" s="161" t="s">
        <v>859</v>
      </c>
      <c r="AC150" s="161" t="s">
        <v>858</v>
      </c>
      <c r="AD150" s="161" t="s">
        <v>874</v>
      </c>
      <c r="AE150" s="133"/>
      <c r="AF150" s="133"/>
      <c r="AG150" s="133"/>
      <c r="AH150" s="133"/>
    </row>
    <row r="151" spans="1:34" ht="15" customHeight="1" x14ac:dyDescent="0.25">
      <c r="A151" s="135"/>
      <c r="B151" s="48" t="s">
        <v>327</v>
      </c>
      <c r="C151" s="209" t="s">
        <v>329</v>
      </c>
      <c r="D151" s="64" t="s">
        <v>967</v>
      </c>
      <c r="E151" s="175">
        <v>0</v>
      </c>
      <c r="F151" s="204">
        <f>IF($D$8="A VISTA",Planilha2!B136,Planilha2!B136)</f>
        <v>289</v>
      </c>
      <c r="G151" s="205">
        <v>7.8E-2</v>
      </c>
      <c r="H151" s="204">
        <f>IFERROR(F151*(1+G151),#REF!)</f>
        <v>311.54200000000003</v>
      </c>
      <c r="I151" s="204">
        <f>F151*E151</f>
        <v>0</v>
      </c>
      <c r="J151" s="206">
        <f>SUM(E151*H151)</f>
        <v>0</v>
      </c>
      <c r="K151" s="170">
        <f>Planilha2!C136</f>
        <v>274.55</v>
      </c>
      <c r="L151" s="207">
        <f>K151*G151+K151</f>
        <v>295.9649</v>
      </c>
      <c r="M151" s="170">
        <f>K151*E151</f>
        <v>0</v>
      </c>
      <c r="N151" s="170">
        <f>L151*E151</f>
        <v>0</v>
      </c>
      <c r="O151" s="140"/>
      <c r="P151" s="170">
        <f>H151</f>
        <v>311.54200000000003</v>
      </c>
      <c r="Q151" s="170">
        <f>L151</f>
        <v>295.9649</v>
      </c>
      <c r="R151" s="199">
        <f>F151</f>
        <v>289</v>
      </c>
      <c r="S151" s="172">
        <f>H151</f>
        <v>311.54200000000003</v>
      </c>
      <c r="T151" s="172">
        <f>J151</f>
        <v>0</v>
      </c>
      <c r="U151" s="172">
        <f>R151*5%</f>
        <v>14.450000000000001</v>
      </c>
      <c r="V151" s="172">
        <f>R151-U151</f>
        <v>274.55</v>
      </c>
      <c r="W151" s="172">
        <f t="shared" ref="W151" si="167">S151*5%</f>
        <v>15.577100000000002</v>
      </c>
      <c r="X151" s="199">
        <f>L151</f>
        <v>295.9649</v>
      </c>
      <c r="Y151" s="170">
        <f>X151*E151</f>
        <v>0</v>
      </c>
      <c r="Z151" s="171">
        <v>0</v>
      </c>
      <c r="AA151" s="170">
        <v>0</v>
      </c>
      <c r="AB151" s="65">
        <f>S151*E151</f>
        <v>0</v>
      </c>
      <c r="AC151" s="65">
        <f>X151*E151</f>
        <v>0</v>
      </c>
      <c r="AD151" s="173">
        <f t="shared" si="112"/>
        <v>295.9649</v>
      </c>
      <c r="AE151" s="133"/>
      <c r="AF151" s="133"/>
      <c r="AG151" s="133"/>
      <c r="AH151" s="133"/>
    </row>
    <row r="152" spans="1:34" ht="15" customHeight="1" x14ac:dyDescent="0.25">
      <c r="A152" s="135"/>
      <c r="B152" s="157" t="s">
        <v>12</v>
      </c>
      <c r="C152" s="210" t="s">
        <v>13</v>
      </c>
      <c r="D152" s="208" t="s">
        <v>330</v>
      </c>
      <c r="E152" s="160" t="s">
        <v>15</v>
      </c>
      <c r="F152" s="161" t="s">
        <v>607</v>
      </c>
      <c r="G152" s="162" t="s">
        <v>500</v>
      </c>
      <c r="H152" s="161" t="s">
        <v>609</v>
      </c>
      <c r="I152" s="161" t="s">
        <v>615</v>
      </c>
      <c r="J152" s="161" t="s">
        <v>16</v>
      </c>
      <c r="K152" s="161" t="s">
        <v>606</v>
      </c>
      <c r="L152" s="162" t="s">
        <v>908</v>
      </c>
      <c r="M152" s="161" t="s">
        <v>615</v>
      </c>
      <c r="N152" s="161" t="s">
        <v>16</v>
      </c>
      <c r="O152" s="140"/>
      <c r="P152" s="161" t="s">
        <v>853</v>
      </c>
      <c r="Q152" s="161" t="s">
        <v>606</v>
      </c>
      <c r="R152" s="162" t="s">
        <v>910</v>
      </c>
      <c r="S152" s="162" t="s">
        <v>891</v>
      </c>
      <c r="T152" s="162" t="s">
        <v>892</v>
      </c>
      <c r="U152" s="163" t="s">
        <v>894</v>
      </c>
      <c r="V152" s="162" t="s">
        <v>870</v>
      </c>
      <c r="W152" s="163" t="s">
        <v>895</v>
      </c>
      <c r="X152" s="162" t="s">
        <v>893</v>
      </c>
      <c r="Y152" s="161" t="s">
        <v>596</v>
      </c>
      <c r="Z152" s="161" t="s">
        <v>861</v>
      </c>
      <c r="AA152" s="161" t="s">
        <v>860</v>
      </c>
      <c r="AB152" s="161" t="s">
        <v>859</v>
      </c>
      <c r="AC152" s="161" t="s">
        <v>858</v>
      </c>
      <c r="AD152" s="161" t="s">
        <v>874</v>
      </c>
      <c r="AE152" s="133"/>
      <c r="AF152" s="133"/>
      <c r="AG152" s="133"/>
      <c r="AH152" s="133"/>
    </row>
    <row r="153" spans="1:34" s="28" customFormat="1" ht="15" customHeight="1" x14ac:dyDescent="0.25">
      <c r="A153" s="135"/>
      <c r="B153" s="35" t="s">
        <v>331</v>
      </c>
      <c r="C153" s="211" t="s">
        <v>333</v>
      </c>
      <c r="D153" s="211" t="s">
        <v>968</v>
      </c>
      <c r="E153" s="166">
        <v>0</v>
      </c>
      <c r="F153" s="167">
        <f>IF($D$8="A VISTA",Planilha2!B138,Planilha2!B138)</f>
        <v>313</v>
      </c>
      <c r="G153" s="168">
        <v>7.8E-2</v>
      </c>
      <c r="H153" s="167">
        <f>IFERROR(F153*(1+G153),#REF!)</f>
        <v>337.41400000000004</v>
      </c>
      <c r="I153" s="167">
        <f>F153*E153</f>
        <v>0</v>
      </c>
      <c r="J153" s="169">
        <f>SUM(E153*H153)</f>
        <v>0</v>
      </c>
      <c r="K153" s="170">
        <f>Planilha2!C138</f>
        <v>297.35000000000002</v>
      </c>
      <c r="L153" s="171">
        <f>K153*G153+K153</f>
        <v>320.54330000000004</v>
      </c>
      <c r="M153" s="170">
        <f>K153*E153</f>
        <v>0</v>
      </c>
      <c r="N153" s="170">
        <f>L153*E153</f>
        <v>0</v>
      </c>
      <c r="O153" s="140"/>
      <c r="P153" s="170">
        <f>H153</f>
        <v>337.41400000000004</v>
      </c>
      <c r="Q153" s="170">
        <f>L153</f>
        <v>320.54330000000004</v>
      </c>
      <c r="R153" s="172">
        <f>F153</f>
        <v>313</v>
      </c>
      <c r="S153" s="172">
        <f>H153</f>
        <v>337.41400000000004</v>
      </c>
      <c r="T153" s="172">
        <f>J153</f>
        <v>0</v>
      </c>
      <c r="U153" s="172">
        <f t="shared" ref="U153:U155" si="168">R153*5%</f>
        <v>15.65</v>
      </c>
      <c r="V153" s="172">
        <f t="shared" ref="V153:V155" si="169">R153-U153</f>
        <v>297.35000000000002</v>
      </c>
      <c r="W153" s="172">
        <f t="shared" ref="W153:W155" si="170">S153*5%</f>
        <v>16.870700000000003</v>
      </c>
      <c r="X153" s="172">
        <f>L153</f>
        <v>320.54330000000004</v>
      </c>
      <c r="Y153" s="170">
        <f>X153*E153</f>
        <v>0</v>
      </c>
      <c r="Z153" s="171">
        <v>0</v>
      </c>
      <c r="AA153" s="170">
        <v>0</v>
      </c>
      <c r="AB153" s="171">
        <f>S153*E153</f>
        <v>0</v>
      </c>
      <c r="AC153" s="171">
        <f>X153*E153</f>
        <v>0</v>
      </c>
      <c r="AD153" s="173">
        <f t="shared" ref="AD153:AD192" si="171">X153-AB153</f>
        <v>320.54330000000004</v>
      </c>
      <c r="AE153" s="133"/>
      <c r="AF153" s="133"/>
      <c r="AG153" s="133"/>
      <c r="AH153" s="133"/>
    </row>
    <row r="154" spans="1:34" s="28" customFormat="1" ht="15" customHeight="1" x14ac:dyDescent="0.25">
      <c r="A154" s="135"/>
      <c r="B154" s="35" t="s">
        <v>334</v>
      </c>
      <c r="C154" s="211" t="s">
        <v>336</v>
      </c>
      <c r="D154" s="211" t="s">
        <v>969</v>
      </c>
      <c r="E154" s="166">
        <v>0</v>
      </c>
      <c r="F154" s="167">
        <f>IF($D$8="A VISTA",Planilha2!B139,Planilha2!B139)</f>
        <v>429</v>
      </c>
      <c r="G154" s="168">
        <v>7.8E-2</v>
      </c>
      <c r="H154" s="167">
        <f>IFERROR(F154*(1+G154),#REF!)</f>
        <v>462.46200000000005</v>
      </c>
      <c r="I154" s="167">
        <f>F154*E154</f>
        <v>0</v>
      </c>
      <c r="J154" s="169">
        <f>SUM(E154*H154)</f>
        <v>0</v>
      </c>
      <c r="K154" s="170">
        <f>Planilha2!C139</f>
        <v>407.55</v>
      </c>
      <c r="L154" s="171">
        <f>K154*G154+K154</f>
        <v>439.33890000000002</v>
      </c>
      <c r="M154" s="170">
        <f>K154*E154</f>
        <v>0</v>
      </c>
      <c r="N154" s="170">
        <f>L154*E154</f>
        <v>0</v>
      </c>
      <c r="O154" s="140"/>
      <c r="P154" s="170">
        <f>H154</f>
        <v>462.46200000000005</v>
      </c>
      <c r="Q154" s="170">
        <f>L154</f>
        <v>439.33890000000002</v>
      </c>
      <c r="R154" s="172">
        <f>F154</f>
        <v>429</v>
      </c>
      <c r="S154" s="172">
        <f>H154</f>
        <v>462.46200000000005</v>
      </c>
      <c r="T154" s="172">
        <f>J154</f>
        <v>0</v>
      </c>
      <c r="U154" s="172">
        <f t="shared" si="168"/>
        <v>21.450000000000003</v>
      </c>
      <c r="V154" s="172">
        <f t="shared" si="169"/>
        <v>407.55</v>
      </c>
      <c r="W154" s="172">
        <f t="shared" si="170"/>
        <v>23.123100000000004</v>
      </c>
      <c r="X154" s="172">
        <f>L154</f>
        <v>439.33890000000002</v>
      </c>
      <c r="Y154" s="170">
        <f>X154*E154</f>
        <v>0</v>
      </c>
      <c r="Z154" s="171">
        <v>0</v>
      </c>
      <c r="AA154" s="170">
        <v>0</v>
      </c>
      <c r="AB154" s="171">
        <f>S154*E154</f>
        <v>0</v>
      </c>
      <c r="AC154" s="171">
        <f>X154*E154</f>
        <v>0</v>
      </c>
      <c r="AD154" s="173">
        <f t="shared" si="171"/>
        <v>439.33890000000002</v>
      </c>
      <c r="AE154" s="133"/>
      <c r="AF154" s="133"/>
      <c r="AG154" s="133"/>
      <c r="AH154" s="133"/>
    </row>
    <row r="155" spans="1:34" s="28" customFormat="1" ht="15" customHeight="1" x14ac:dyDescent="0.25">
      <c r="A155" s="135"/>
      <c r="B155" s="35" t="s">
        <v>337</v>
      </c>
      <c r="C155" s="211" t="s">
        <v>339</v>
      </c>
      <c r="D155" s="211" t="s">
        <v>970</v>
      </c>
      <c r="E155" s="166">
        <v>0</v>
      </c>
      <c r="F155" s="167">
        <f>IF($D$8="A VISTA",Planilha2!B140,Planilha2!B140)</f>
        <v>329</v>
      </c>
      <c r="G155" s="168">
        <v>7.8E-2</v>
      </c>
      <c r="H155" s="167">
        <f>IFERROR(F155*(1+G155),#REF!)</f>
        <v>354.66200000000003</v>
      </c>
      <c r="I155" s="167">
        <f>F155*E155</f>
        <v>0</v>
      </c>
      <c r="J155" s="169">
        <f>SUM(E155*H155)</f>
        <v>0</v>
      </c>
      <c r="K155" s="170">
        <f>Planilha2!C140</f>
        <v>312.55</v>
      </c>
      <c r="L155" s="171">
        <f>K155*G155+K155</f>
        <v>336.9289</v>
      </c>
      <c r="M155" s="170">
        <f>K155*E155</f>
        <v>0</v>
      </c>
      <c r="N155" s="170">
        <f>L155*E155</f>
        <v>0</v>
      </c>
      <c r="O155" s="140"/>
      <c r="P155" s="170">
        <f>H155</f>
        <v>354.66200000000003</v>
      </c>
      <c r="Q155" s="170">
        <f>L155</f>
        <v>336.9289</v>
      </c>
      <c r="R155" s="172">
        <f>F155</f>
        <v>329</v>
      </c>
      <c r="S155" s="172">
        <f>H155</f>
        <v>354.66200000000003</v>
      </c>
      <c r="T155" s="172">
        <f>J155</f>
        <v>0</v>
      </c>
      <c r="U155" s="172">
        <f t="shared" si="168"/>
        <v>16.45</v>
      </c>
      <c r="V155" s="172">
        <f t="shared" si="169"/>
        <v>312.55</v>
      </c>
      <c r="W155" s="172">
        <f t="shared" si="170"/>
        <v>17.733100000000004</v>
      </c>
      <c r="X155" s="172">
        <f>L155</f>
        <v>336.9289</v>
      </c>
      <c r="Y155" s="170">
        <f>X155*E155</f>
        <v>0</v>
      </c>
      <c r="Z155" s="171">
        <v>0</v>
      </c>
      <c r="AA155" s="170">
        <v>0</v>
      </c>
      <c r="AB155" s="171">
        <f>S155*E155</f>
        <v>0</v>
      </c>
      <c r="AC155" s="171">
        <f>X155*E155</f>
        <v>0</v>
      </c>
      <c r="AD155" s="173">
        <f t="shared" si="171"/>
        <v>336.9289</v>
      </c>
      <c r="AE155" s="133"/>
      <c r="AF155" s="133"/>
      <c r="AG155" s="133"/>
      <c r="AH155" s="133"/>
    </row>
    <row r="156" spans="1:34" ht="15" customHeight="1" x14ac:dyDescent="0.25">
      <c r="A156" s="135"/>
      <c r="B156" s="157" t="s">
        <v>12</v>
      </c>
      <c r="C156" s="210" t="s">
        <v>13</v>
      </c>
      <c r="D156" s="208" t="s">
        <v>340</v>
      </c>
      <c r="E156" s="160" t="s">
        <v>15</v>
      </c>
      <c r="F156" s="161" t="s">
        <v>607</v>
      </c>
      <c r="G156" s="162" t="s">
        <v>500</v>
      </c>
      <c r="H156" s="161" t="s">
        <v>609</v>
      </c>
      <c r="I156" s="161" t="s">
        <v>615</v>
      </c>
      <c r="J156" s="161" t="s">
        <v>16</v>
      </c>
      <c r="K156" s="161" t="s">
        <v>606</v>
      </c>
      <c r="L156" s="162" t="s">
        <v>908</v>
      </c>
      <c r="M156" s="161" t="s">
        <v>615</v>
      </c>
      <c r="N156" s="161" t="s">
        <v>16</v>
      </c>
      <c r="O156" s="140"/>
      <c r="P156" s="161" t="s">
        <v>853</v>
      </c>
      <c r="Q156" s="161" t="s">
        <v>606</v>
      </c>
      <c r="R156" s="162" t="s">
        <v>910</v>
      </c>
      <c r="S156" s="162" t="s">
        <v>891</v>
      </c>
      <c r="T156" s="162" t="s">
        <v>892</v>
      </c>
      <c r="U156" s="163" t="s">
        <v>894</v>
      </c>
      <c r="V156" s="162" t="s">
        <v>870</v>
      </c>
      <c r="W156" s="163" t="s">
        <v>895</v>
      </c>
      <c r="X156" s="162" t="s">
        <v>893</v>
      </c>
      <c r="Y156" s="161" t="s">
        <v>596</v>
      </c>
      <c r="Z156" s="161" t="s">
        <v>861</v>
      </c>
      <c r="AA156" s="161" t="s">
        <v>860</v>
      </c>
      <c r="AB156" s="161" t="s">
        <v>859</v>
      </c>
      <c r="AC156" s="161" t="s">
        <v>858</v>
      </c>
      <c r="AD156" s="161" t="s">
        <v>874</v>
      </c>
      <c r="AE156" s="133"/>
      <c r="AF156" s="133"/>
      <c r="AG156" s="133"/>
      <c r="AH156" s="133"/>
    </row>
    <row r="157" spans="1:34" s="28" customFormat="1" x14ac:dyDescent="0.25">
      <c r="A157" s="135"/>
      <c r="B157" s="35" t="s">
        <v>341</v>
      </c>
      <c r="C157" s="212" t="s">
        <v>343</v>
      </c>
      <c r="D157" s="211" t="s">
        <v>971</v>
      </c>
      <c r="E157" s="166">
        <v>0</v>
      </c>
      <c r="F157" s="167">
        <f>IF($D$8="A VISTA",Planilha2!B142,Planilha2!B142)</f>
        <v>313</v>
      </c>
      <c r="G157" s="168">
        <v>7.8E-2</v>
      </c>
      <c r="H157" s="167">
        <f>IFERROR(F157*(1+G157),#REF!)</f>
        <v>337.41400000000004</v>
      </c>
      <c r="I157" s="167">
        <f>F157*E157</f>
        <v>0</v>
      </c>
      <c r="J157" s="169">
        <f>SUM(E157*H157)</f>
        <v>0</v>
      </c>
      <c r="K157" s="170">
        <f>Planilha2!C142</f>
        <v>297.35000000000002</v>
      </c>
      <c r="L157" s="171">
        <f>K157*G157+K157</f>
        <v>320.54330000000004</v>
      </c>
      <c r="M157" s="170">
        <f>K157*E157</f>
        <v>0</v>
      </c>
      <c r="N157" s="170">
        <f>L157*E157</f>
        <v>0</v>
      </c>
      <c r="O157" s="140"/>
      <c r="P157" s="170">
        <f>H157</f>
        <v>337.41400000000004</v>
      </c>
      <c r="Q157" s="170">
        <f>L157</f>
        <v>320.54330000000004</v>
      </c>
      <c r="R157" s="170">
        <f>F157</f>
        <v>313</v>
      </c>
      <c r="S157" s="172">
        <f>H157</f>
        <v>337.41400000000004</v>
      </c>
      <c r="T157" s="172">
        <f>J157</f>
        <v>0</v>
      </c>
      <c r="U157" s="172">
        <f t="shared" ref="U157:U159" si="172">R157*5%</f>
        <v>15.65</v>
      </c>
      <c r="V157" s="172">
        <f t="shared" ref="V157:V159" si="173">R157-U157</f>
        <v>297.35000000000002</v>
      </c>
      <c r="W157" s="172">
        <f t="shared" ref="W157:W159" si="174">S157*5%</f>
        <v>16.870700000000003</v>
      </c>
      <c r="X157" s="170">
        <f>L157</f>
        <v>320.54330000000004</v>
      </c>
      <c r="Y157" s="170">
        <f>X157*E157</f>
        <v>0</v>
      </c>
      <c r="Z157" s="171">
        <v>0</v>
      </c>
      <c r="AA157" s="170">
        <v>0</v>
      </c>
      <c r="AB157" s="171">
        <f>S157*E157</f>
        <v>0</v>
      </c>
      <c r="AC157" s="171">
        <f>X157*E157</f>
        <v>0</v>
      </c>
      <c r="AD157" s="173">
        <f t="shared" si="171"/>
        <v>320.54330000000004</v>
      </c>
      <c r="AE157" s="133"/>
      <c r="AF157" s="133"/>
      <c r="AG157" s="133"/>
      <c r="AH157" s="133"/>
    </row>
    <row r="158" spans="1:34" s="28" customFormat="1" x14ac:dyDescent="0.25">
      <c r="A158" s="135"/>
      <c r="B158" s="306" t="s">
        <v>611</v>
      </c>
      <c r="C158" s="247">
        <v>7898670766530</v>
      </c>
      <c r="D158" s="307" t="s">
        <v>972</v>
      </c>
      <c r="E158" s="300">
        <v>0</v>
      </c>
      <c r="F158" s="301">
        <f>IF($D$8="A VISTA",Planilha2!B143,Planilha2!B143)</f>
        <v>189</v>
      </c>
      <c r="G158" s="302">
        <v>7.8E-2</v>
      </c>
      <c r="H158" s="301">
        <f>IFERROR(F158*(1+G158),#REF!)</f>
        <v>203.74200000000002</v>
      </c>
      <c r="I158" s="167">
        <f>F158*E158</f>
        <v>0</v>
      </c>
      <c r="J158" s="303">
        <f>SUM(E158*H158)</f>
        <v>0</v>
      </c>
      <c r="K158" s="178">
        <f>Planilha2!C143</f>
        <v>179.55</v>
      </c>
      <c r="L158" s="178">
        <f>K158*G158+K158</f>
        <v>193.5549</v>
      </c>
      <c r="M158" s="178">
        <f>K158*E158</f>
        <v>0</v>
      </c>
      <c r="N158" s="178">
        <f>L158*E158</f>
        <v>0</v>
      </c>
      <c r="O158" s="140"/>
      <c r="P158" s="176">
        <f>H158</f>
        <v>203.74200000000002</v>
      </c>
      <c r="Q158" s="176">
        <f>L158</f>
        <v>193.5549</v>
      </c>
      <c r="R158" s="188">
        <f>PROMO!C203</f>
        <v>189</v>
      </c>
      <c r="S158" s="188">
        <f>R158+R158*G158</f>
        <v>203.74199999999999</v>
      </c>
      <c r="T158" s="188">
        <f>E158*S158</f>
        <v>0</v>
      </c>
      <c r="U158" s="172">
        <f t="shared" si="172"/>
        <v>9.4500000000000011</v>
      </c>
      <c r="V158" s="188">
        <f t="shared" si="173"/>
        <v>179.55</v>
      </c>
      <c r="W158" s="172">
        <f t="shared" si="174"/>
        <v>10.187100000000001</v>
      </c>
      <c r="X158" s="178">
        <f>S158-W158</f>
        <v>193.55489999999998</v>
      </c>
      <c r="Y158" s="176">
        <f>X158*E158</f>
        <v>0</v>
      </c>
      <c r="Z158" s="171">
        <v>0</v>
      </c>
      <c r="AA158" s="176">
        <v>0</v>
      </c>
      <c r="AB158" s="171">
        <f>S158*E158</f>
        <v>0</v>
      </c>
      <c r="AC158" s="179">
        <f>X158*E158</f>
        <v>0</v>
      </c>
      <c r="AD158" s="267">
        <f t="shared" si="171"/>
        <v>193.55489999999998</v>
      </c>
      <c r="AE158" s="133"/>
      <c r="AF158" s="133"/>
      <c r="AG158" s="133"/>
      <c r="AH158" s="133"/>
    </row>
    <row r="159" spans="1:34" s="28" customFormat="1" x14ac:dyDescent="0.25">
      <c r="A159" s="135"/>
      <c r="B159" s="35" t="s">
        <v>344</v>
      </c>
      <c r="C159" s="212" t="s">
        <v>346</v>
      </c>
      <c r="D159" s="211" t="s">
        <v>973</v>
      </c>
      <c r="E159" s="166">
        <v>0</v>
      </c>
      <c r="F159" s="167">
        <f>IF($D$8="A VISTA",Planilha2!B144,Planilha2!B144)</f>
        <v>429</v>
      </c>
      <c r="G159" s="168">
        <v>7.8E-2</v>
      </c>
      <c r="H159" s="167">
        <f>IFERROR(F159*(1+G159),#REF!)</f>
        <v>462.46200000000005</v>
      </c>
      <c r="I159" s="167">
        <f>F159*E159</f>
        <v>0</v>
      </c>
      <c r="J159" s="169">
        <f>SUM(E159*H159)</f>
        <v>0</v>
      </c>
      <c r="K159" s="170">
        <f>Planilha2!C144</f>
        <v>407.55</v>
      </c>
      <c r="L159" s="171">
        <f>K159*G159+K159</f>
        <v>439.33890000000002</v>
      </c>
      <c r="M159" s="170">
        <f>K159*E159</f>
        <v>0</v>
      </c>
      <c r="N159" s="170">
        <f>L159*E159</f>
        <v>0</v>
      </c>
      <c r="O159" s="140"/>
      <c r="P159" s="170">
        <f>H159</f>
        <v>462.46200000000005</v>
      </c>
      <c r="Q159" s="170">
        <f>L159</f>
        <v>439.33890000000002</v>
      </c>
      <c r="R159" s="172">
        <f>F159</f>
        <v>429</v>
      </c>
      <c r="S159" s="172">
        <f>H159</f>
        <v>462.46200000000005</v>
      </c>
      <c r="T159" s="172">
        <f>J159</f>
        <v>0</v>
      </c>
      <c r="U159" s="172">
        <f t="shared" si="172"/>
        <v>21.450000000000003</v>
      </c>
      <c r="V159" s="172">
        <f t="shared" si="173"/>
        <v>407.55</v>
      </c>
      <c r="W159" s="172">
        <f t="shared" si="174"/>
        <v>23.123100000000004</v>
      </c>
      <c r="X159" s="172">
        <f>L159</f>
        <v>439.33890000000002</v>
      </c>
      <c r="Y159" s="170">
        <f>X159*E159</f>
        <v>0</v>
      </c>
      <c r="Z159" s="171">
        <v>0</v>
      </c>
      <c r="AA159" s="170">
        <v>0</v>
      </c>
      <c r="AB159" s="171">
        <f>S159*E159</f>
        <v>0</v>
      </c>
      <c r="AC159" s="171">
        <f>X159*E159</f>
        <v>0</v>
      </c>
      <c r="AD159" s="173">
        <f t="shared" si="171"/>
        <v>439.33890000000002</v>
      </c>
      <c r="AE159" s="133"/>
      <c r="AF159" s="133"/>
      <c r="AG159" s="133"/>
      <c r="AH159" s="133"/>
    </row>
    <row r="160" spans="1:34" ht="20.25" customHeight="1" x14ac:dyDescent="0.25">
      <c r="A160" s="135"/>
      <c r="B160" s="157" t="s">
        <v>12</v>
      </c>
      <c r="C160" s="210" t="s">
        <v>13</v>
      </c>
      <c r="D160" s="208" t="s">
        <v>412</v>
      </c>
      <c r="E160" s="160" t="s">
        <v>15</v>
      </c>
      <c r="F160" s="161" t="s">
        <v>607</v>
      </c>
      <c r="G160" s="162" t="s">
        <v>500</v>
      </c>
      <c r="H160" s="161" t="s">
        <v>609</v>
      </c>
      <c r="I160" s="161" t="s">
        <v>615</v>
      </c>
      <c r="J160" s="161" t="s">
        <v>16</v>
      </c>
      <c r="K160" s="161" t="s">
        <v>606</v>
      </c>
      <c r="L160" s="162" t="s">
        <v>908</v>
      </c>
      <c r="M160" s="161" t="s">
        <v>615</v>
      </c>
      <c r="N160" s="161" t="s">
        <v>16</v>
      </c>
      <c r="O160" s="140"/>
      <c r="P160" s="161" t="s">
        <v>853</v>
      </c>
      <c r="Q160" s="161" t="s">
        <v>606</v>
      </c>
      <c r="R160" s="162" t="s">
        <v>910</v>
      </c>
      <c r="S160" s="162" t="s">
        <v>891</v>
      </c>
      <c r="T160" s="162" t="s">
        <v>892</v>
      </c>
      <c r="U160" s="163" t="s">
        <v>894</v>
      </c>
      <c r="V160" s="162" t="s">
        <v>870</v>
      </c>
      <c r="W160" s="163" t="s">
        <v>895</v>
      </c>
      <c r="X160" s="162" t="s">
        <v>893</v>
      </c>
      <c r="Y160" s="161" t="s">
        <v>596</v>
      </c>
      <c r="Z160" s="161" t="s">
        <v>861</v>
      </c>
      <c r="AA160" s="161" t="s">
        <v>860</v>
      </c>
      <c r="AB160" s="161" t="s">
        <v>859</v>
      </c>
      <c r="AC160" s="161" t="s">
        <v>858</v>
      </c>
      <c r="AD160" s="161" t="s">
        <v>874</v>
      </c>
      <c r="AE160" s="133"/>
      <c r="AF160" s="133"/>
      <c r="AG160" s="133"/>
      <c r="AH160" s="133"/>
    </row>
    <row r="161" spans="1:34" s="28" customFormat="1" ht="15" customHeight="1" x14ac:dyDescent="0.25">
      <c r="A161" s="135"/>
      <c r="B161" s="306" t="s">
        <v>348</v>
      </c>
      <c r="C161" s="308" t="s">
        <v>350</v>
      </c>
      <c r="D161" s="309" t="s">
        <v>974</v>
      </c>
      <c r="E161" s="300">
        <v>0</v>
      </c>
      <c r="F161" s="301">
        <f>IF($D$8="A VISTA",Planilha2!B146,Planilha2!B146)</f>
        <v>210.6</v>
      </c>
      <c r="G161" s="302">
        <v>7.8E-2</v>
      </c>
      <c r="H161" s="301">
        <f>IFERROR(F161*(1+G161),#REF!)</f>
        <v>227.02680000000001</v>
      </c>
      <c r="I161" s="301">
        <f>F161*E161</f>
        <v>0</v>
      </c>
      <c r="J161" s="303">
        <f>SUM(E161*H161)</f>
        <v>0</v>
      </c>
      <c r="K161" s="170">
        <f>Planilha2!C146</f>
        <v>200.07</v>
      </c>
      <c r="L161" s="171">
        <f>K161*G161+K161</f>
        <v>215.67545999999999</v>
      </c>
      <c r="M161" s="170">
        <f>K161*E161</f>
        <v>0</v>
      </c>
      <c r="N161" s="170">
        <f>L161*E161</f>
        <v>0</v>
      </c>
      <c r="O161" s="140"/>
      <c r="P161" s="170">
        <f>H161</f>
        <v>227.02680000000001</v>
      </c>
      <c r="Q161" s="170">
        <f>L161</f>
        <v>215.67545999999999</v>
      </c>
      <c r="R161" s="172">
        <f>F161</f>
        <v>210.6</v>
      </c>
      <c r="S161" s="172">
        <f>H161</f>
        <v>227.02680000000001</v>
      </c>
      <c r="T161" s="172">
        <f>J161</f>
        <v>0</v>
      </c>
      <c r="U161" s="172">
        <f t="shared" ref="U161:U164" si="175">R161*5%</f>
        <v>10.530000000000001</v>
      </c>
      <c r="V161" s="172">
        <f t="shared" ref="V161:V164" si="176">R161-U161</f>
        <v>200.07</v>
      </c>
      <c r="W161" s="172">
        <f t="shared" ref="W161:W164" si="177">S161*5%</f>
        <v>11.35134</v>
      </c>
      <c r="X161" s="172">
        <f>L161</f>
        <v>215.67545999999999</v>
      </c>
      <c r="Y161" s="170">
        <f>X161*E161</f>
        <v>0</v>
      </c>
      <c r="Z161" s="171">
        <v>0</v>
      </c>
      <c r="AA161" s="171">
        <v>0</v>
      </c>
      <c r="AB161" s="171">
        <f>S161*E161</f>
        <v>0</v>
      </c>
      <c r="AC161" s="171">
        <f>X161*E161</f>
        <v>0</v>
      </c>
      <c r="AD161" s="173">
        <f t="shared" si="171"/>
        <v>215.67545999999999</v>
      </c>
      <c r="AE161" s="133"/>
      <c r="AF161" s="133"/>
      <c r="AG161" s="133"/>
      <c r="AH161" s="133"/>
    </row>
    <row r="162" spans="1:34" s="28" customFormat="1" ht="15" customHeight="1" x14ac:dyDescent="0.25">
      <c r="A162" s="135"/>
      <c r="B162" s="306" t="s">
        <v>351</v>
      </c>
      <c r="C162" s="308" t="s">
        <v>353</v>
      </c>
      <c r="D162" s="309" t="s">
        <v>975</v>
      </c>
      <c r="E162" s="300">
        <v>0</v>
      </c>
      <c r="F162" s="301">
        <f>IF($D$8="A VISTA",Planilha2!B147,Planilha2!B147)</f>
        <v>224.1</v>
      </c>
      <c r="G162" s="302">
        <v>7.8E-2</v>
      </c>
      <c r="H162" s="301">
        <f>IFERROR(F162*(1+G162),#REF!)</f>
        <v>241.57980000000001</v>
      </c>
      <c r="I162" s="301">
        <f>F162*E162</f>
        <v>0</v>
      </c>
      <c r="J162" s="303">
        <f>SUM(E162*H162)</f>
        <v>0</v>
      </c>
      <c r="K162" s="170">
        <f>Planilha2!C147</f>
        <v>212.89499999999998</v>
      </c>
      <c r="L162" s="171">
        <f>K162*G162+K162</f>
        <v>229.50080999999997</v>
      </c>
      <c r="M162" s="170">
        <f>K162*E162</f>
        <v>0</v>
      </c>
      <c r="N162" s="170">
        <f>L162*E162</f>
        <v>0</v>
      </c>
      <c r="O162" s="140"/>
      <c r="P162" s="170">
        <f>H162</f>
        <v>241.57980000000001</v>
      </c>
      <c r="Q162" s="170">
        <f>L162</f>
        <v>229.50080999999997</v>
      </c>
      <c r="R162" s="172">
        <f>F162</f>
        <v>224.1</v>
      </c>
      <c r="S162" s="172">
        <f>H162</f>
        <v>241.57980000000001</v>
      </c>
      <c r="T162" s="172">
        <f>J162</f>
        <v>0</v>
      </c>
      <c r="U162" s="172">
        <f t="shared" si="175"/>
        <v>11.205</v>
      </c>
      <c r="V162" s="172">
        <f t="shared" si="176"/>
        <v>212.89499999999998</v>
      </c>
      <c r="W162" s="172">
        <f t="shared" si="177"/>
        <v>12.078990000000001</v>
      </c>
      <c r="X162" s="172">
        <f>L162</f>
        <v>229.50080999999997</v>
      </c>
      <c r="Y162" s="170">
        <f>X162*E162</f>
        <v>0</v>
      </c>
      <c r="Z162" s="171">
        <v>0</v>
      </c>
      <c r="AA162" s="171">
        <v>0</v>
      </c>
      <c r="AB162" s="171">
        <f>S162*E162</f>
        <v>0</v>
      </c>
      <c r="AC162" s="171">
        <f>X162*E162</f>
        <v>0</v>
      </c>
      <c r="AD162" s="173">
        <f t="shared" si="171"/>
        <v>229.50080999999997</v>
      </c>
      <c r="AE162" s="133"/>
      <c r="AF162" s="133"/>
      <c r="AG162" s="133"/>
      <c r="AH162" s="133"/>
    </row>
    <row r="163" spans="1:34" s="28" customFormat="1" ht="15" customHeight="1" x14ac:dyDescent="0.25">
      <c r="A163" s="135"/>
      <c r="B163" s="48" t="s">
        <v>354</v>
      </c>
      <c r="C163" s="422" t="s">
        <v>356</v>
      </c>
      <c r="D163" s="420" t="s">
        <v>976</v>
      </c>
      <c r="E163" s="175">
        <v>0</v>
      </c>
      <c r="F163" s="204">
        <f>IF($D$8="A VISTA",Planilha2!B148,Planilha2!B148)</f>
        <v>269</v>
      </c>
      <c r="G163" s="205">
        <v>7.8E-2</v>
      </c>
      <c r="H163" s="204">
        <f>IFERROR(F163*(1+G163),#REF!)</f>
        <v>289.98200000000003</v>
      </c>
      <c r="I163" s="204">
        <f>F163*E163</f>
        <v>0</v>
      </c>
      <c r="J163" s="206">
        <f>SUM(E163*H163)</f>
        <v>0</v>
      </c>
      <c r="K163" s="178">
        <f>Planilha2!C148</f>
        <v>255.55</v>
      </c>
      <c r="L163" s="179">
        <f>K163*G163+K163</f>
        <v>275.48290000000003</v>
      </c>
      <c r="M163" s="178">
        <f>K163*E163</f>
        <v>0</v>
      </c>
      <c r="N163" s="178">
        <f>L163*E163</f>
        <v>0</v>
      </c>
      <c r="O163" s="140"/>
      <c r="P163" s="170">
        <f>H163</f>
        <v>289.98200000000003</v>
      </c>
      <c r="Q163" s="170">
        <f>L163</f>
        <v>275.48290000000003</v>
      </c>
      <c r="R163" s="188">
        <f>PROMO!C200</f>
        <v>237.58869738219306</v>
      </c>
      <c r="S163" s="188">
        <f>H163</f>
        <v>289.98200000000003</v>
      </c>
      <c r="T163" s="188">
        <f>J163</f>
        <v>0</v>
      </c>
      <c r="U163" s="172">
        <f t="shared" si="175"/>
        <v>11.879434869109653</v>
      </c>
      <c r="V163" s="188">
        <f t="shared" si="176"/>
        <v>225.70926251308342</v>
      </c>
      <c r="W163" s="172">
        <f t="shared" si="177"/>
        <v>14.499100000000002</v>
      </c>
      <c r="X163" s="188">
        <f>L163</f>
        <v>275.48290000000003</v>
      </c>
      <c r="Y163" s="170">
        <f>X163*E163</f>
        <v>0</v>
      </c>
      <c r="Z163" s="171">
        <v>0</v>
      </c>
      <c r="AA163" s="171">
        <v>0</v>
      </c>
      <c r="AB163" s="171">
        <f>S163*E163</f>
        <v>0</v>
      </c>
      <c r="AC163" s="179">
        <f>X163*E163</f>
        <v>0</v>
      </c>
      <c r="AD163" s="173">
        <f t="shared" si="171"/>
        <v>275.48290000000003</v>
      </c>
      <c r="AE163" s="133"/>
      <c r="AF163" s="133"/>
      <c r="AG163" s="133"/>
      <c r="AH163" s="133"/>
    </row>
    <row r="164" spans="1:34" s="28" customFormat="1" ht="14.25" customHeight="1" x14ac:dyDescent="0.25">
      <c r="A164" s="135"/>
      <c r="B164" s="48" t="s">
        <v>357</v>
      </c>
      <c r="C164" s="422" t="s">
        <v>359</v>
      </c>
      <c r="D164" s="420" t="s">
        <v>977</v>
      </c>
      <c r="E164" s="175">
        <v>0</v>
      </c>
      <c r="F164" s="204">
        <f>IF($D$8="A VISTA",Planilha2!B149,Planilha2!B149)</f>
        <v>299</v>
      </c>
      <c r="G164" s="205">
        <v>7.8E-2</v>
      </c>
      <c r="H164" s="204">
        <f>IFERROR(F164*(1+G164),#REF!)</f>
        <v>322.322</v>
      </c>
      <c r="I164" s="204">
        <f>F164*E164</f>
        <v>0</v>
      </c>
      <c r="J164" s="206">
        <f>SUM(E164*H164)</f>
        <v>0</v>
      </c>
      <c r="K164" s="178">
        <f>Planilha2!C149</f>
        <v>284.05</v>
      </c>
      <c r="L164" s="179">
        <f>K164*G164+K164</f>
        <v>306.20590000000004</v>
      </c>
      <c r="M164" s="178">
        <f>K164*E163</f>
        <v>0</v>
      </c>
      <c r="N164" s="178">
        <f>L164*E163</f>
        <v>0</v>
      </c>
      <c r="O164" s="140"/>
      <c r="P164" s="170">
        <f>H164</f>
        <v>322.322</v>
      </c>
      <c r="Q164" s="170">
        <f>L164</f>
        <v>306.20590000000004</v>
      </c>
      <c r="R164" s="188">
        <f>PROMO!C201</f>
        <v>255.44935068243026</v>
      </c>
      <c r="S164" s="188">
        <f>H164</f>
        <v>322.322</v>
      </c>
      <c r="T164" s="188">
        <f>J164</f>
        <v>0</v>
      </c>
      <c r="U164" s="172">
        <f t="shared" si="175"/>
        <v>12.772467534121514</v>
      </c>
      <c r="V164" s="188">
        <f t="shared" si="176"/>
        <v>242.67688314830875</v>
      </c>
      <c r="W164" s="172">
        <f t="shared" si="177"/>
        <v>16.116099999999999</v>
      </c>
      <c r="X164" s="188">
        <f>L164</f>
        <v>306.20590000000004</v>
      </c>
      <c r="Y164" s="170">
        <f>X164*E164</f>
        <v>0</v>
      </c>
      <c r="Z164" s="171">
        <v>0</v>
      </c>
      <c r="AA164" s="171">
        <v>0</v>
      </c>
      <c r="AB164" s="171">
        <f>S164*E164</f>
        <v>0</v>
      </c>
      <c r="AC164" s="179">
        <f>X164*E164</f>
        <v>0</v>
      </c>
      <c r="AD164" s="173">
        <f t="shared" si="171"/>
        <v>306.20590000000004</v>
      </c>
      <c r="AE164" s="133"/>
      <c r="AF164" s="133"/>
      <c r="AG164" s="133"/>
      <c r="AH164" s="133"/>
    </row>
    <row r="165" spans="1:34" ht="15" customHeight="1" x14ac:dyDescent="0.25">
      <c r="A165" s="135"/>
      <c r="B165" s="157" t="s">
        <v>12</v>
      </c>
      <c r="C165" s="210" t="s">
        <v>13</v>
      </c>
      <c r="D165" s="208" t="s">
        <v>415</v>
      </c>
      <c r="E165" s="160" t="s">
        <v>15</v>
      </c>
      <c r="F165" s="161" t="s">
        <v>607</v>
      </c>
      <c r="G165" s="162" t="s">
        <v>500</v>
      </c>
      <c r="H165" s="161" t="s">
        <v>609</v>
      </c>
      <c r="I165" s="161" t="s">
        <v>615</v>
      </c>
      <c r="J165" s="161" t="s">
        <v>16</v>
      </c>
      <c r="K165" s="161" t="s">
        <v>606</v>
      </c>
      <c r="L165" s="162" t="s">
        <v>908</v>
      </c>
      <c r="M165" s="161" t="s">
        <v>615</v>
      </c>
      <c r="N165" s="161" t="s">
        <v>16</v>
      </c>
      <c r="O165" s="140"/>
      <c r="P165" s="161" t="s">
        <v>853</v>
      </c>
      <c r="Q165" s="161" t="s">
        <v>606</v>
      </c>
      <c r="R165" s="162" t="s">
        <v>910</v>
      </c>
      <c r="S165" s="162" t="s">
        <v>891</v>
      </c>
      <c r="T165" s="162" t="s">
        <v>892</v>
      </c>
      <c r="U165" s="163" t="s">
        <v>894</v>
      </c>
      <c r="V165" s="162" t="s">
        <v>870</v>
      </c>
      <c r="W165" s="163" t="s">
        <v>895</v>
      </c>
      <c r="X165" s="162" t="s">
        <v>893</v>
      </c>
      <c r="Y165" s="161" t="s">
        <v>596</v>
      </c>
      <c r="Z165" s="161" t="s">
        <v>861</v>
      </c>
      <c r="AA165" s="161" t="s">
        <v>860</v>
      </c>
      <c r="AB165" s="161" t="s">
        <v>859</v>
      </c>
      <c r="AC165" s="161" t="s">
        <v>858</v>
      </c>
      <c r="AD165" s="161" t="s">
        <v>874</v>
      </c>
      <c r="AE165" s="133"/>
      <c r="AF165" s="133"/>
      <c r="AG165" s="133"/>
      <c r="AH165" s="133"/>
    </row>
    <row r="166" spans="1:34" s="28" customFormat="1" ht="15" customHeight="1" x14ac:dyDescent="0.25">
      <c r="A166" s="135"/>
      <c r="B166" s="418" t="s">
        <v>361</v>
      </c>
      <c r="C166" s="419" t="s">
        <v>363</v>
      </c>
      <c r="D166" s="419" t="s">
        <v>978</v>
      </c>
      <c r="E166" s="394">
        <v>0</v>
      </c>
      <c r="F166" s="395">
        <f>IF($D$8="A VISTA",Planilha2!B151,Planilha2!B151)</f>
        <v>179.1</v>
      </c>
      <c r="G166" s="396">
        <v>7.8E-2</v>
      </c>
      <c r="H166" s="395">
        <f>IFERROR(F166*(1+G166),#REF!)</f>
        <v>193.06980000000001</v>
      </c>
      <c r="I166" s="395">
        <f>F166*E166</f>
        <v>0</v>
      </c>
      <c r="J166" s="397">
        <f>SUM(E166*H166)</f>
        <v>0</v>
      </c>
      <c r="K166" s="170">
        <f>Planilha2!C151</f>
        <v>170.14499999999998</v>
      </c>
      <c r="L166" s="171">
        <f>K166*G166+K166</f>
        <v>183.41630999999998</v>
      </c>
      <c r="M166" s="170">
        <f>K166*E166</f>
        <v>0</v>
      </c>
      <c r="N166" s="170">
        <f>L166*E166</f>
        <v>0</v>
      </c>
      <c r="O166" s="140"/>
      <c r="P166" s="170">
        <f>H166</f>
        <v>193.06980000000001</v>
      </c>
      <c r="Q166" s="170">
        <f>L166</f>
        <v>183.41630999999998</v>
      </c>
      <c r="R166" s="172">
        <f>F166</f>
        <v>179.1</v>
      </c>
      <c r="S166" s="172">
        <f>H166</f>
        <v>193.06980000000001</v>
      </c>
      <c r="T166" s="172">
        <f>J166</f>
        <v>0</v>
      </c>
      <c r="U166" s="172">
        <f t="shared" ref="U166:U169" si="178">R166*5%</f>
        <v>8.9550000000000001</v>
      </c>
      <c r="V166" s="172">
        <f t="shared" ref="V166:V169" si="179">R166-U166</f>
        <v>170.14499999999998</v>
      </c>
      <c r="W166" s="172">
        <f t="shared" ref="W166:W169" si="180">S166*5%</f>
        <v>9.6534900000000015</v>
      </c>
      <c r="X166" s="172">
        <f>L166</f>
        <v>183.41630999999998</v>
      </c>
      <c r="Y166" s="170">
        <f>X166*E166</f>
        <v>0</v>
      </c>
      <c r="Z166" s="170">
        <v>0</v>
      </c>
      <c r="AA166" s="170">
        <f>R166*J166</f>
        <v>0</v>
      </c>
      <c r="AB166" s="170">
        <f>S166*E166</f>
        <v>0</v>
      </c>
      <c r="AC166" s="170">
        <f>X166*E166</f>
        <v>0</v>
      </c>
      <c r="AD166" s="173">
        <f t="shared" si="171"/>
        <v>183.41630999999998</v>
      </c>
      <c r="AE166" s="133"/>
      <c r="AF166" s="133"/>
      <c r="AG166" s="133"/>
      <c r="AH166" s="133"/>
    </row>
    <row r="167" spans="1:34" s="28" customFormat="1" ht="15" customHeight="1" x14ac:dyDescent="0.25">
      <c r="A167" s="135"/>
      <c r="B167" s="418" t="s">
        <v>364</v>
      </c>
      <c r="C167" s="419" t="s">
        <v>366</v>
      </c>
      <c r="D167" s="419" t="s">
        <v>979</v>
      </c>
      <c r="E167" s="394">
        <v>0</v>
      </c>
      <c r="F167" s="395">
        <f>IF($D$8="A VISTA",Planilha2!B152,Planilha2!B152)</f>
        <v>197.1</v>
      </c>
      <c r="G167" s="396">
        <v>7.8E-2</v>
      </c>
      <c r="H167" s="395">
        <f>IFERROR(F167*(1+G167),#REF!)</f>
        <v>212.47380000000001</v>
      </c>
      <c r="I167" s="395">
        <f>F167*E167</f>
        <v>0</v>
      </c>
      <c r="J167" s="397">
        <f>SUM(E167*H167)</f>
        <v>0</v>
      </c>
      <c r="K167" s="170">
        <f>Planilha2!C152</f>
        <v>187.245</v>
      </c>
      <c r="L167" s="171">
        <f>K167*G167+K167</f>
        <v>201.85011</v>
      </c>
      <c r="M167" s="170">
        <f>K167*E167</f>
        <v>0</v>
      </c>
      <c r="N167" s="170">
        <f>L167*E167</f>
        <v>0</v>
      </c>
      <c r="O167" s="140"/>
      <c r="P167" s="170">
        <f>H167</f>
        <v>212.47380000000001</v>
      </c>
      <c r="Q167" s="170">
        <f>L167</f>
        <v>201.85011</v>
      </c>
      <c r="R167" s="172">
        <f>F167</f>
        <v>197.1</v>
      </c>
      <c r="S167" s="172">
        <f>H167</f>
        <v>212.47380000000001</v>
      </c>
      <c r="T167" s="172">
        <f>J167</f>
        <v>0</v>
      </c>
      <c r="U167" s="172">
        <f t="shared" si="178"/>
        <v>9.8550000000000004</v>
      </c>
      <c r="V167" s="172">
        <f t="shared" si="179"/>
        <v>187.245</v>
      </c>
      <c r="W167" s="172">
        <f t="shared" si="180"/>
        <v>10.623690000000002</v>
      </c>
      <c r="X167" s="172">
        <f>L167</f>
        <v>201.85011</v>
      </c>
      <c r="Y167" s="170">
        <f>X167*E167</f>
        <v>0</v>
      </c>
      <c r="Z167" s="170">
        <v>0</v>
      </c>
      <c r="AA167" s="170">
        <f>R167*J167</f>
        <v>0</v>
      </c>
      <c r="AB167" s="170">
        <f>S167*E167</f>
        <v>0</v>
      </c>
      <c r="AC167" s="170">
        <f>X167*E167</f>
        <v>0</v>
      </c>
      <c r="AD167" s="173">
        <f t="shared" si="171"/>
        <v>201.85011</v>
      </c>
      <c r="AE167" s="133"/>
      <c r="AF167" s="133"/>
      <c r="AG167" s="133"/>
      <c r="AH167" s="133"/>
    </row>
    <row r="168" spans="1:34" s="28" customFormat="1" ht="15" customHeight="1" x14ac:dyDescent="0.25">
      <c r="A168" s="135"/>
      <c r="B168" s="48" t="s">
        <v>367</v>
      </c>
      <c r="C168" s="420" t="s">
        <v>369</v>
      </c>
      <c r="D168" s="420" t="s">
        <v>980</v>
      </c>
      <c r="E168" s="175">
        <v>0</v>
      </c>
      <c r="F168" s="204">
        <f>IF($D$8="A VISTA",Planilha2!B153,Planilha2!B153)</f>
        <v>239</v>
      </c>
      <c r="G168" s="205">
        <v>7.8E-2</v>
      </c>
      <c r="H168" s="204">
        <f>IFERROR(F168*(1+G168),#REF!)</f>
        <v>257.642</v>
      </c>
      <c r="I168" s="204">
        <f>F168*E168</f>
        <v>0</v>
      </c>
      <c r="J168" s="206">
        <f>SUM(E168*H168)</f>
        <v>0</v>
      </c>
      <c r="K168" s="178">
        <f>Planilha2!C153</f>
        <v>227.05</v>
      </c>
      <c r="L168" s="179">
        <f>K168*G168+K168</f>
        <v>244.75990000000002</v>
      </c>
      <c r="M168" s="178">
        <f>K168*E168</f>
        <v>0</v>
      </c>
      <c r="N168" s="178">
        <f>L168*E168</f>
        <v>0</v>
      </c>
      <c r="O168" s="140"/>
      <c r="P168" s="170">
        <f>H168</f>
        <v>257.642</v>
      </c>
      <c r="Q168" s="170">
        <f>L168</f>
        <v>244.75990000000002</v>
      </c>
      <c r="R168" s="188">
        <f>PROMO!C198</f>
        <v>209.35708598911427</v>
      </c>
      <c r="S168" s="188">
        <f>H168</f>
        <v>257.642</v>
      </c>
      <c r="T168" s="188">
        <f>J168</f>
        <v>0</v>
      </c>
      <c r="U168" s="172">
        <f t="shared" si="178"/>
        <v>10.467854299455714</v>
      </c>
      <c r="V168" s="188">
        <f t="shared" si="179"/>
        <v>198.88923168965854</v>
      </c>
      <c r="W168" s="172">
        <f t="shared" si="180"/>
        <v>12.882100000000001</v>
      </c>
      <c r="X168" s="188">
        <f>L168</f>
        <v>244.75990000000002</v>
      </c>
      <c r="Y168" s="170">
        <f>X168*E168</f>
        <v>0</v>
      </c>
      <c r="Z168" s="170">
        <v>0</v>
      </c>
      <c r="AA168" s="170">
        <f>R168*J168</f>
        <v>0</v>
      </c>
      <c r="AB168" s="170">
        <f>S168*E168</f>
        <v>0</v>
      </c>
      <c r="AC168" s="178">
        <f>X168*E168</f>
        <v>0</v>
      </c>
      <c r="AD168" s="173">
        <f t="shared" si="171"/>
        <v>244.75990000000002</v>
      </c>
      <c r="AE168" s="133"/>
      <c r="AF168" s="133"/>
      <c r="AG168" s="133"/>
      <c r="AH168" s="133"/>
    </row>
    <row r="169" spans="1:34" s="28" customFormat="1" ht="15" customHeight="1" x14ac:dyDescent="0.25">
      <c r="A169" s="135"/>
      <c r="B169" s="48" t="s">
        <v>370</v>
      </c>
      <c r="C169" s="421" t="s">
        <v>372</v>
      </c>
      <c r="D169" s="420" t="s">
        <v>981</v>
      </c>
      <c r="E169" s="175">
        <v>0</v>
      </c>
      <c r="F169" s="204">
        <f>IF($D$8="A VISTA",Planilha2!B154,Planilha2!B154)</f>
        <v>269</v>
      </c>
      <c r="G169" s="205">
        <v>7.8E-2</v>
      </c>
      <c r="H169" s="204">
        <f>IFERROR(F169*(1+G169),#REF!)</f>
        <v>289.98200000000003</v>
      </c>
      <c r="I169" s="204">
        <f>F169*E169</f>
        <v>0</v>
      </c>
      <c r="J169" s="206">
        <f>SUM(E169*H169)</f>
        <v>0</v>
      </c>
      <c r="K169" s="178">
        <f>Planilha2!C154</f>
        <v>255.55</v>
      </c>
      <c r="L169" s="179">
        <f>K169*G169+K169</f>
        <v>275.48290000000003</v>
      </c>
      <c r="M169" s="178">
        <f>K169*E169</f>
        <v>0</v>
      </c>
      <c r="N169" s="178">
        <f>L169*E169</f>
        <v>0</v>
      </c>
      <c r="O169" s="140"/>
      <c r="P169" s="170">
        <f>H169</f>
        <v>289.98200000000003</v>
      </c>
      <c r="Q169" s="170">
        <f>L169</f>
        <v>275.48290000000003</v>
      </c>
      <c r="R169" s="188">
        <f>PROMO!C199</f>
        <v>228.51849654224662</v>
      </c>
      <c r="S169" s="188">
        <f>H169</f>
        <v>289.98200000000003</v>
      </c>
      <c r="T169" s="188">
        <f>J169</f>
        <v>0</v>
      </c>
      <c r="U169" s="172">
        <f t="shared" si="178"/>
        <v>11.425924827112333</v>
      </c>
      <c r="V169" s="188">
        <f t="shared" si="179"/>
        <v>217.09257171513428</v>
      </c>
      <c r="W169" s="172">
        <f t="shared" si="180"/>
        <v>14.499100000000002</v>
      </c>
      <c r="X169" s="188">
        <f>L169</f>
        <v>275.48290000000003</v>
      </c>
      <c r="Y169" s="170">
        <f>X169*E169</f>
        <v>0</v>
      </c>
      <c r="Z169" s="170">
        <v>0</v>
      </c>
      <c r="AA169" s="170">
        <f>R169*J169</f>
        <v>0</v>
      </c>
      <c r="AB169" s="170">
        <f>S169*E169</f>
        <v>0</v>
      </c>
      <c r="AC169" s="178">
        <f>X169*E169</f>
        <v>0</v>
      </c>
      <c r="AD169" s="173">
        <f t="shared" si="171"/>
        <v>275.48290000000003</v>
      </c>
      <c r="AE169" s="133"/>
      <c r="AF169" s="133"/>
      <c r="AG169" s="133"/>
      <c r="AH169" s="133"/>
    </row>
    <row r="170" spans="1:34" ht="15" customHeight="1" x14ac:dyDescent="0.25">
      <c r="A170" s="135"/>
      <c r="B170" s="157" t="s">
        <v>12</v>
      </c>
      <c r="C170" s="210" t="s">
        <v>13</v>
      </c>
      <c r="D170" s="208" t="s">
        <v>414</v>
      </c>
      <c r="E170" s="160" t="s">
        <v>15</v>
      </c>
      <c r="F170" s="161" t="s">
        <v>607</v>
      </c>
      <c r="G170" s="162" t="s">
        <v>500</v>
      </c>
      <c r="H170" s="161" t="s">
        <v>609</v>
      </c>
      <c r="I170" s="161" t="s">
        <v>615</v>
      </c>
      <c r="J170" s="161" t="s">
        <v>16</v>
      </c>
      <c r="K170" s="161" t="s">
        <v>606</v>
      </c>
      <c r="L170" s="162" t="s">
        <v>908</v>
      </c>
      <c r="M170" s="161" t="s">
        <v>615</v>
      </c>
      <c r="N170" s="161" t="s">
        <v>16</v>
      </c>
      <c r="O170" s="140"/>
      <c r="P170" s="161" t="s">
        <v>853</v>
      </c>
      <c r="Q170" s="161" t="s">
        <v>606</v>
      </c>
      <c r="R170" s="162" t="s">
        <v>910</v>
      </c>
      <c r="S170" s="162" t="s">
        <v>891</v>
      </c>
      <c r="T170" s="162" t="s">
        <v>892</v>
      </c>
      <c r="U170" s="163" t="s">
        <v>894</v>
      </c>
      <c r="V170" s="162" t="s">
        <v>870</v>
      </c>
      <c r="W170" s="163" t="s">
        <v>895</v>
      </c>
      <c r="X170" s="162" t="s">
        <v>893</v>
      </c>
      <c r="Y170" s="161" t="s">
        <v>596</v>
      </c>
      <c r="Z170" s="161" t="s">
        <v>861</v>
      </c>
      <c r="AA170" s="161" t="s">
        <v>860</v>
      </c>
      <c r="AB170" s="161" t="s">
        <v>859</v>
      </c>
      <c r="AC170" s="161" t="s">
        <v>858</v>
      </c>
      <c r="AD170" s="161" t="s">
        <v>874</v>
      </c>
      <c r="AE170" s="133"/>
      <c r="AF170" s="133"/>
      <c r="AG170" s="133"/>
      <c r="AH170" s="133"/>
    </row>
    <row r="171" spans="1:34" s="28" customFormat="1" ht="15" customHeight="1" x14ac:dyDescent="0.25">
      <c r="A171" s="135"/>
      <c r="B171" s="418" t="s">
        <v>374</v>
      </c>
      <c r="C171" s="423" t="s">
        <v>376</v>
      </c>
      <c r="D171" s="419" t="s">
        <v>982</v>
      </c>
      <c r="E171" s="394">
        <v>0</v>
      </c>
      <c r="F171" s="395">
        <f>IF($D$8="A VISTA",Planilha2!B156,Planilha2!B156)</f>
        <v>206.1</v>
      </c>
      <c r="G171" s="396">
        <v>7.8E-2</v>
      </c>
      <c r="H171" s="395">
        <f>IFERROR(F171*(1+G171),#REF!)</f>
        <v>222.17580000000001</v>
      </c>
      <c r="I171" s="395">
        <f>F171*E171</f>
        <v>0</v>
      </c>
      <c r="J171" s="397">
        <f>SUM(E171*H171)</f>
        <v>0</v>
      </c>
      <c r="K171" s="170">
        <f>Planilha2!C156</f>
        <v>195.79499999999999</v>
      </c>
      <c r="L171" s="171">
        <f>K171*G171+K171</f>
        <v>211.06700999999998</v>
      </c>
      <c r="M171" s="170">
        <f>K171*E171</f>
        <v>0</v>
      </c>
      <c r="N171" s="170">
        <f>L171*E171</f>
        <v>0</v>
      </c>
      <c r="O171" s="140"/>
      <c r="P171" s="170">
        <f>H171</f>
        <v>222.17580000000001</v>
      </c>
      <c r="Q171" s="170">
        <f>L171</f>
        <v>211.06700999999998</v>
      </c>
      <c r="R171" s="172">
        <f>F171</f>
        <v>206.1</v>
      </c>
      <c r="S171" s="172">
        <f>H171</f>
        <v>222.17580000000001</v>
      </c>
      <c r="T171" s="172">
        <f>J171</f>
        <v>0</v>
      </c>
      <c r="U171" s="172">
        <f t="shared" ref="U171:U175" si="181">R171*5%</f>
        <v>10.305</v>
      </c>
      <c r="V171" s="172">
        <f t="shared" ref="V171:V175" si="182">R171-U171</f>
        <v>195.79499999999999</v>
      </c>
      <c r="W171" s="172">
        <f t="shared" ref="W171:W175" si="183">S171*5%</f>
        <v>11.108790000000001</v>
      </c>
      <c r="X171" s="172">
        <f>L171</f>
        <v>211.06700999999998</v>
      </c>
      <c r="Y171" s="170">
        <f>X171*E171</f>
        <v>0</v>
      </c>
      <c r="Z171" s="171">
        <v>0</v>
      </c>
      <c r="AA171" s="170">
        <f>R171*J171</f>
        <v>0</v>
      </c>
      <c r="AB171" s="170">
        <f>S171*E171</f>
        <v>0</v>
      </c>
      <c r="AC171" s="170">
        <f>X171*E171</f>
        <v>0</v>
      </c>
      <c r="AD171" s="173">
        <f t="shared" si="171"/>
        <v>211.06700999999998</v>
      </c>
      <c r="AE171" s="133"/>
      <c r="AF171" s="133"/>
      <c r="AG171" s="133"/>
      <c r="AH171" s="133"/>
    </row>
    <row r="172" spans="1:34" s="28" customFormat="1" ht="15" customHeight="1" x14ac:dyDescent="0.25">
      <c r="A172" s="135"/>
      <c r="B172" s="418" t="s">
        <v>377</v>
      </c>
      <c r="C172" s="423" t="s">
        <v>379</v>
      </c>
      <c r="D172" s="419" t="s">
        <v>983</v>
      </c>
      <c r="E172" s="394">
        <v>0</v>
      </c>
      <c r="F172" s="395">
        <f>IF($D$8="A VISTA",Planilha2!B157,Planilha2!B157)</f>
        <v>215.1</v>
      </c>
      <c r="G172" s="396">
        <v>7.8E-2</v>
      </c>
      <c r="H172" s="395">
        <f>IFERROR(F172*(1+G172),#REF!)</f>
        <v>231.87780000000001</v>
      </c>
      <c r="I172" s="395">
        <f>F172*E172</f>
        <v>0</v>
      </c>
      <c r="J172" s="397">
        <f>SUM(E172*H172)</f>
        <v>0</v>
      </c>
      <c r="K172" s="170">
        <f>Planilha2!C157</f>
        <v>204.345</v>
      </c>
      <c r="L172" s="171">
        <f>K172*G172+K172</f>
        <v>220.28390999999999</v>
      </c>
      <c r="M172" s="170">
        <f>K172*E172</f>
        <v>0</v>
      </c>
      <c r="N172" s="170">
        <f>L172*E172</f>
        <v>0</v>
      </c>
      <c r="O172" s="140"/>
      <c r="P172" s="170">
        <f>H172</f>
        <v>231.87780000000001</v>
      </c>
      <c r="Q172" s="170">
        <f>L172</f>
        <v>220.28390999999999</v>
      </c>
      <c r="R172" s="172">
        <f>F172</f>
        <v>215.1</v>
      </c>
      <c r="S172" s="172">
        <f>H172</f>
        <v>231.87780000000001</v>
      </c>
      <c r="T172" s="172">
        <f>J172</f>
        <v>0</v>
      </c>
      <c r="U172" s="172">
        <f t="shared" si="181"/>
        <v>10.755000000000001</v>
      </c>
      <c r="V172" s="172">
        <f t="shared" si="182"/>
        <v>204.345</v>
      </c>
      <c r="W172" s="172">
        <f t="shared" si="183"/>
        <v>11.593890000000002</v>
      </c>
      <c r="X172" s="172">
        <f>L172</f>
        <v>220.28390999999999</v>
      </c>
      <c r="Y172" s="170">
        <f>X172*E172</f>
        <v>0</v>
      </c>
      <c r="Z172" s="171">
        <v>0</v>
      </c>
      <c r="AA172" s="170">
        <f>R172*J172</f>
        <v>0</v>
      </c>
      <c r="AB172" s="170">
        <f>S172*E172</f>
        <v>0</v>
      </c>
      <c r="AC172" s="170">
        <f>X172*E172</f>
        <v>0</v>
      </c>
      <c r="AD172" s="173">
        <f t="shared" si="171"/>
        <v>220.28390999999999</v>
      </c>
      <c r="AE172" s="133"/>
      <c r="AF172" s="133"/>
      <c r="AG172" s="133"/>
      <c r="AH172" s="133"/>
    </row>
    <row r="173" spans="1:34" s="28" customFormat="1" ht="15" customHeight="1" x14ac:dyDescent="0.25">
      <c r="A173" s="135"/>
      <c r="B173" s="418" t="s">
        <v>380</v>
      </c>
      <c r="C173" s="423" t="s">
        <v>382</v>
      </c>
      <c r="D173" s="419" t="s">
        <v>984</v>
      </c>
      <c r="E173" s="394">
        <v>0</v>
      </c>
      <c r="F173" s="395">
        <f>IF($D$8="A VISTA",Planilha2!B158,Planilha2!B158)</f>
        <v>296.10000000000002</v>
      </c>
      <c r="G173" s="396">
        <v>7.8E-2</v>
      </c>
      <c r="H173" s="395">
        <f>IFERROR(F173*(1+G173),#REF!)</f>
        <v>319.19580000000002</v>
      </c>
      <c r="I173" s="395">
        <f>F173*E173</f>
        <v>0</v>
      </c>
      <c r="J173" s="397">
        <f>SUM(E173*H173)</f>
        <v>0</v>
      </c>
      <c r="K173" s="170">
        <f>Planilha2!C158</f>
        <v>281.29500000000002</v>
      </c>
      <c r="L173" s="171">
        <f>K173*G173+K173</f>
        <v>303.23601000000002</v>
      </c>
      <c r="M173" s="170">
        <f>K173*E173</f>
        <v>0</v>
      </c>
      <c r="N173" s="170">
        <f>L173*E173</f>
        <v>0</v>
      </c>
      <c r="O173" s="140"/>
      <c r="P173" s="170">
        <f>H173</f>
        <v>319.19580000000002</v>
      </c>
      <c r="Q173" s="170">
        <f>L173</f>
        <v>303.23601000000002</v>
      </c>
      <c r="R173" s="172">
        <f>F173</f>
        <v>296.10000000000002</v>
      </c>
      <c r="S173" s="172">
        <f>H173</f>
        <v>319.19580000000002</v>
      </c>
      <c r="T173" s="172">
        <f>J173</f>
        <v>0</v>
      </c>
      <c r="U173" s="172">
        <f t="shared" si="181"/>
        <v>14.805000000000001</v>
      </c>
      <c r="V173" s="172">
        <f t="shared" si="182"/>
        <v>281.29500000000002</v>
      </c>
      <c r="W173" s="172">
        <f t="shared" si="183"/>
        <v>15.959790000000002</v>
      </c>
      <c r="X173" s="172">
        <f>L173</f>
        <v>303.23601000000002</v>
      </c>
      <c r="Y173" s="170">
        <f>X173*E173</f>
        <v>0</v>
      </c>
      <c r="Z173" s="171">
        <v>0</v>
      </c>
      <c r="AA173" s="170">
        <f>R173*J173</f>
        <v>0</v>
      </c>
      <c r="AB173" s="170">
        <f>S173*E173</f>
        <v>0</v>
      </c>
      <c r="AC173" s="170">
        <f>X173*E173</f>
        <v>0</v>
      </c>
      <c r="AD173" s="173">
        <f t="shared" si="171"/>
        <v>303.23601000000002</v>
      </c>
      <c r="AE173" s="133"/>
      <c r="AF173" s="133"/>
      <c r="AG173" s="133"/>
      <c r="AH173" s="133"/>
    </row>
    <row r="174" spans="1:34" s="28" customFormat="1" ht="15" customHeight="1" x14ac:dyDescent="0.25">
      <c r="A174" s="135"/>
      <c r="B174" s="418" t="s">
        <v>383</v>
      </c>
      <c r="C174" s="423" t="s">
        <v>385</v>
      </c>
      <c r="D174" s="419" t="s">
        <v>985</v>
      </c>
      <c r="E174" s="394">
        <v>0</v>
      </c>
      <c r="F174" s="395">
        <f>IF($D$8="A VISTA",Planilha2!B159,Planilha2!B159)</f>
        <v>310.5</v>
      </c>
      <c r="G174" s="396">
        <v>7.8E-2</v>
      </c>
      <c r="H174" s="395">
        <f>IFERROR(F174*(1+G174),#REF!)</f>
        <v>334.71899999999999</v>
      </c>
      <c r="I174" s="395">
        <f>F174*E174</f>
        <v>0</v>
      </c>
      <c r="J174" s="397">
        <f>SUM(E174*H174)</f>
        <v>0</v>
      </c>
      <c r="K174" s="170">
        <f>Planilha2!C159</f>
        <v>294.97500000000002</v>
      </c>
      <c r="L174" s="171">
        <f>K174*G174+K174</f>
        <v>317.98305000000005</v>
      </c>
      <c r="M174" s="170">
        <f>K174*E174</f>
        <v>0</v>
      </c>
      <c r="N174" s="170">
        <f>L174*E174</f>
        <v>0</v>
      </c>
      <c r="O174" s="140"/>
      <c r="P174" s="170">
        <f>H174</f>
        <v>334.71899999999999</v>
      </c>
      <c r="Q174" s="170">
        <f>L174</f>
        <v>317.98305000000005</v>
      </c>
      <c r="R174" s="172">
        <f>F174</f>
        <v>310.5</v>
      </c>
      <c r="S174" s="172">
        <f>H174</f>
        <v>334.71899999999999</v>
      </c>
      <c r="T174" s="172">
        <f>J174</f>
        <v>0</v>
      </c>
      <c r="U174" s="172">
        <f t="shared" si="181"/>
        <v>15.525</v>
      </c>
      <c r="V174" s="172">
        <f t="shared" si="182"/>
        <v>294.97500000000002</v>
      </c>
      <c r="W174" s="172">
        <f t="shared" si="183"/>
        <v>16.735949999999999</v>
      </c>
      <c r="X174" s="172">
        <f>L174</f>
        <v>317.98305000000005</v>
      </c>
      <c r="Y174" s="170">
        <f>X174*E174</f>
        <v>0</v>
      </c>
      <c r="Z174" s="171">
        <v>0</v>
      </c>
      <c r="AA174" s="170">
        <f>R174*J174</f>
        <v>0</v>
      </c>
      <c r="AB174" s="170">
        <f>S174*E174</f>
        <v>0</v>
      </c>
      <c r="AC174" s="170">
        <f>X174*E174</f>
        <v>0</v>
      </c>
      <c r="AD174" s="173">
        <f t="shared" si="171"/>
        <v>317.98305000000005</v>
      </c>
      <c r="AE174" s="133"/>
      <c r="AF174" s="133"/>
      <c r="AG174" s="133"/>
      <c r="AH174" s="133"/>
    </row>
    <row r="175" spans="1:34" s="28" customFormat="1" ht="15" customHeight="1" x14ac:dyDescent="0.25">
      <c r="A175" s="135"/>
      <c r="B175" s="35" t="s">
        <v>386</v>
      </c>
      <c r="C175" s="211" t="s">
        <v>388</v>
      </c>
      <c r="D175" s="211" t="s">
        <v>986</v>
      </c>
      <c r="E175" s="166">
        <v>0</v>
      </c>
      <c r="F175" s="167">
        <f>IF($D$8="A VISTA",Planilha2!B160,Planilha2!B160)</f>
        <v>239</v>
      </c>
      <c r="G175" s="168">
        <v>7.8E-2</v>
      </c>
      <c r="H175" s="167">
        <f>IFERROR(F175*(1+G175),#REF!)</f>
        <v>257.642</v>
      </c>
      <c r="I175" s="167">
        <f>F175*E175</f>
        <v>0</v>
      </c>
      <c r="J175" s="169">
        <f>SUM(E175*H175)</f>
        <v>0</v>
      </c>
      <c r="K175" s="170">
        <f>Planilha2!C160</f>
        <v>227.05</v>
      </c>
      <c r="L175" s="171">
        <f>K175*G175+K175</f>
        <v>244.75990000000002</v>
      </c>
      <c r="M175" s="170">
        <f>K175*E175</f>
        <v>0</v>
      </c>
      <c r="N175" s="170">
        <f>L175*E175</f>
        <v>0</v>
      </c>
      <c r="O175" s="140"/>
      <c r="P175" s="170">
        <f>H175</f>
        <v>257.642</v>
      </c>
      <c r="Q175" s="170">
        <f>L175</f>
        <v>244.75990000000002</v>
      </c>
      <c r="R175" s="172">
        <f>F175</f>
        <v>239</v>
      </c>
      <c r="S175" s="172">
        <f>H175</f>
        <v>257.642</v>
      </c>
      <c r="T175" s="172">
        <f>J175</f>
        <v>0</v>
      </c>
      <c r="U175" s="172">
        <f t="shared" si="181"/>
        <v>11.950000000000001</v>
      </c>
      <c r="V175" s="172">
        <f t="shared" si="182"/>
        <v>227.05</v>
      </c>
      <c r="W175" s="172">
        <f t="shared" si="183"/>
        <v>12.882100000000001</v>
      </c>
      <c r="X175" s="172">
        <f>L175</f>
        <v>244.75990000000002</v>
      </c>
      <c r="Y175" s="170">
        <f>X175*E175</f>
        <v>0</v>
      </c>
      <c r="Z175" s="171">
        <v>0</v>
      </c>
      <c r="AA175" s="170">
        <f>R175*J175</f>
        <v>0</v>
      </c>
      <c r="AB175" s="170">
        <f>S175*E175</f>
        <v>0</v>
      </c>
      <c r="AC175" s="170">
        <f>X175*E175</f>
        <v>0</v>
      </c>
      <c r="AD175" s="173">
        <f t="shared" si="171"/>
        <v>244.75990000000002</v>
      </c>
      <c r="AE175" s="133"/>
      <c r="AF175" s="133"/>
      <c r="AG175" s="133"/>
      <c r="AH175" s="133"/>
    </row>
    <row r="176" spans="1:34" ht="15" customHeight="1" x14ac:dyDescent="0.25">
      <c r="A176" s="135"/>
      <c r="B176" s="157" t="s">
        <v>12</v>
      </c>
      <c r="C176" s="210" t="s">
        <v>13</v>
      </c>
      <c r="D176" s="208" t="s">
        <v>413</v>
      </c>
      <c r="E176" s="160" t="s">
        <v>15</v>
      </c>
      <c r="F176" s="161" t="s">
        <v>607</v>
      </c>
      <c r="G176" s="162" t="s">
        <v>500</v>
      </c>
      <c r="H176" s="161" t="s">
        <v>609</v>
      </c>
      <c r="I176" s="161" t="s">
        <v>615</v>
      </c>
      <c r="J176" s="161" t="s">
        <v>16</v>
      </c>
      <c r="K176" s="161" t="s">
        <v>606</v>
      </c>
      <c r="L176" s="162" t="s">
        <v>908</v>
      </c>
      <c r="M176" s="161" t="s">
        <v>615</v>
      </c>
      <c r="N176" s="161" t="s">
        <v>16</v>
      </c>
      <c r="O176" s="140"/>
      <c r="P176" s="161" t="s">
        <v>853</v>
      </c>
      <c r="Q176" s="161" t="s">
        <v>606</v>
      </c>
      <c r="R176" s="162" t="s">
        <v>910</v>
      </c>
      <c r="S176" s="162" t="s">
        <v>891</v>
      </c>
      <c r="T176" s="162" t="s">
        <v>892</v>
      </c>
      <c r="U176" s="163" t="s">
        <v>894</v>
      </c>
      <c r="V176" s="162" t="s">
        <v>870</v>
      </c>
      <c r="W176" s="163" t="s">
        <v>895</v>
      </c>
      <c r="X176" s="162" t="s">
        <v>893</v>
      </c>
      <c r="Y176" s="161" t="s">
        <v>596</v>
      </c>
      <c r="Z176" s="161" t="s">
        <v>861</v>
      </c>
      <c r="AA176" s="161" t="s">
        <v>860</v>
      </c>
      <c r="AB176" s="161" t="s">
        <v>859</v>
      </c>
      <c r="AC176" s="161" t="s">
        <v>858</v>
      </c>
      <c r="AD176" s="161" t="s">
        <v>874</v>
      </c>
      <c r="AE176" s="133"/>
      <c r="AF176" s="133"/>
      <c r="AG176" s="133"/>
      <c r="AH176" s="133"/>
    </row>
    <row r="177" spans="1:34" s="28" customFormat="1" ht="15" customHeight="1" x14ac:dyDescent="0.25">
      <c r="A177" s="135"/>
      <c r="B177" s="418" t="s">
        <v>390</v>
      </c>
      <c r="C177" s="424" t="s">
        <v>392</v>
      </c>
      <c r="D177" s="419" t="s">
        <v>987</v>
      </c>
      <c r="E177" s="394">
        <v>0</v>
      </c>
      <c r="F177" s="395">
        <f>IF($D$8="A VISTA",Planilha2!B162,Planilha2!B162)</f>
        <v>206.1</v>
      </c>
      <c r="G177" s="396">
        <v>7.8E-2</v>
      </c>
      <c r="H177" s="395">
        <f>IFERROR(F177*(1+G177),#REF!)</f>
        <v>222.17580000000001</v>
      </c>
      <c r="I177" s="395">
        <f t="shared" ref="I177:I183" si="184">F177*E177</f>
        <v>0</v>
      </c>
      <c r="J177" s="397">
        <f>SUM(E177*H177)</f>
        <v>0</v>
      </c>
      <c r="K177" s="170">
        <f>Planilha2!C162</f>
        <v>195.79499999999999</v>
      </c>
      <c r="L177" s="171">
        <f>K177*G177+K177</f>
        <v>211.06700999999998</v>
      </c>
      <c r="M177" s="170">
        <f>K177*E177</f>
        <v>0</v>
      </c>
      <c r="N177" s="170">
        <f>L177*E177</f>
        <v>0</v>
      </c>
      <c r="O177" s="140"/>
      <c r="P177" s="170">
        <f>H177</f>
        <v>222.17580000000001</v>
      </c>
      <c r="Q177" s="170">
        <f>L177</f>
        <v>211.06700999999998</v>
      </c>
      <c r="R177" s="172">
        <f>F177</f>
        <v>206.1</v>
      </c>
      <c r="S177" s="172">
        <f>H177</f>
        <v>222.17580000000001</v>
      </c>
      <c r="T177" s="172">
        <f>J177</f>
        <v>0</v>
      </c>
      <c r="U177" s="172">
        <f t="shared" ref="U177:U180" si="185">R177*5%</f>
        <v>10.305</v>
      </c>
      <c r="V177" s="172">
        <f t="shared" ref="V177:V180" si="186">R177-U177</f>
        <v>195.79499999999999</v>
      </c>
      <c r="W177" s="172">
        <f t="shared" ref="W177:W180" si="187">S177*5%</f>
        <v>11.108790000000001</v>
      </c>
      <c r="X177" s="172">
        <f>L177</f>
        <v>211.06700999999998</v>
      </c>
      <c r="Y177" s="170">
        <f>X177*E177</f>
        <v>0</v>
      </c>
      <c r="Z177" s="171">
        <v>0</v>
      </c>
      <c r="AA177" s="170">
        <f>R177*J177</f>
        <v>0</v>
      </c>
      <c r="AB177" s="170">
        <f>S177*E177</f>
        <v>0</v>
      </c>
      <c r="AC177" s="170">
        <f>X177*E177</f>
        <v>0</v>
      </c>
      <c r="AD177" s="173">
        <f t="shared" si="171"/>
        <v>211.06700999999998</v>
      </c>
      <c r="AE177" s="133"/>
      <c r="AF177" s="133"/>
      <c r="AG177" s="133"/>
      <c r="AH177" s="133"/>
    </row>
    <row r="178" spans="1:34" s="28" customFormat="1" ht="15" customHeight="1" x14ac:dyDescent="0.25">
      <c r="A178" s="135"/>
      <c r="B178" s="418" t="s">
        <v>393</v>
      </c>
      <c r="C178" s="424" t="s">
        <v>395</v>
      </c>
      <c r="D178" s="419" t="s">
        <v>988</v>
      </c>
      <c r="E178" s="394">
        <v>0</v>
      </c>
      <c r="F178" s="395">
        <f>IF($D$8="A VISTA",Planilha2!B163,Planilha2!B163)</f>
        <v>215.1</v>
      </c>
      <c r="G178" s="396">
        <v>7.8E-2</v>
      </c>
      <c r="H178" s="395">
        <f>IFERROR(F178*(1+G178),#REF!)</f>
        <v>231.87780000000001</v>
      </c>
      <c r="I178" s="395">
        <f t="shared" si="184"/>
        <v>0</v>
      </c>
      <c r="J178" s="397">
        <f>SUM(E178*H178)</f>
        <v>0</v>
      </c>
      <c r="K178" s="170">
        <f>Planilha2!C163</f>
        <v>204.345</v>
      </c>
      <c r="L178" s="171">
        <f>K178*G178+K178</f>
        <v>220.28390999999999</v>
      </c>
      <c r="M178" s="170">
        <f>K178*E178</f>
        <v>0</v>
      </c>
      <c r="N178" s="170">
        <f>L178*E178</f>
        <v>0</v>
      </c>
      <c r="O178" s="140"/>
      <c r="P178" s="170">
        <f>H178</f>
        <v>231.87780000000001</v>
      </c>
      <c r="Q178" s="170">
        <f>L178</f>
        <v>220.28390999999999</v>
      </c>
      <c r="R178" s="172">
        <f>F178</f>
        <v>215.1</v>
      </c>
      <c r="S178" s="172">
        <f>H178</f>
        <v>231.87780000000001</v>
      </c>
      <c r="T178" s="172">
        <f>J178</f>
        <v>0</v>
      </c>
      <c r="U178" s="172">
        <f t="shared" si="185"/>
        <v>10.755000000000001</v>
      </c>
      <c r="V178" s="172">
        <f t="shared" si="186"/>
        <v>204.345</v>
      </c>
      <c r="W178" s="172">
        <f t="shared" si="187"/>
        <v>11.593890000000002</v>
      </c>
      <c r="X178" s="172">
        <f>L178</f>
        <v>220.28390999999999</v>
      </c>
      <c r="Y178" s="170">
        <f>X178*E178</f>
        <v>0</v>
      </c>
      <c r="Z178" s="171">
        <v>0</v>
      </c>
      <c r="AA178" s="170">
        <f>R178*J178</f>
        <v>0</v>
      </c>
      <c r="AB178" s="170">
        <f>S178*E178</f>
        <v>0</v>
      </c>
      <c r="AC178" s="170">
        <f>X178*E178</f>
        <v>0</v>
      </c>
      <c r="AD178" s="173">
        <f t="shared" si="171"/>
        <v>220.28390999999999</v>
      </c>
      <c r="AE178" s="133"/>
      <c r="AF178" s="133"/>
      <c r="AG178" s="133"/>
      <c r="AH178" s="133"/>
    </row>
    <row r="179" spans="1:34" s="28" customFormat="1" ht="15" customHeight="1" x14ac:dyDescent="0.25">
      <c r="A179" s="135"/>
      <c r="B179" s="418" t="s">
        <v>396</v>
      </c>
      <c r="C179" s="425" t="s">
        <v>398</v>
      </c>
      <c r="D179" s="419" t="s">
        <v>989</v>
      </c>
      <c r="E179" s="394">
        <v>0</v>
      </c>
      <c r="F179" s="395">
        <f>IF($D$8="A VISTA",Planilha2!B164,Planilha2!B164)</f>
        <v>296.10000000000002</v>
      </c>
      <c r="G179" s="396">
        <v>7.8E-2</v>
      </c>
      <c r="H179" s="395">
        <f>IFERROR(F179*(1+G179),#REF!)</f>
        <v>319.19580000000002</v>
      </c>
      <c r="I179" s="395">
        <f t="shared" si="184"/>
        <v>0</v>
      </c>
      <c r="J179" s="397">
        <f>SUM(E179*H179)</f>
        <v>0</v>
      </c>
      <c r="K179" s="170">
        <f>Planilha2!C164</f>
        <v>281.29500000000002</v>
      </c>
      <c r="L179" s="171">
        <f>K179*G179+K179</f>
        <v>303.23601000000002</v>
      </c>
      <c r="M179" s="170">
        <f>K179*E179</f>
        <v>0</v>
      </c>
      <c r="N179" s="170">
        <f>L179*E179</f>
        <v>0</v>
      </c>
      <c r="O179" s="140"/>
      <c r="P179" s="170">
        <f>H179</f>
        <v>319.19580000000002</v>
      </c>
      <c r="Q179" s="170">
        <f>L179</f>
        <v>303.23601000000002</v>
      </c>
      <c r="R179" s="172">
        <f>F179</f>
        <v>296.10000000000002</v>
      </c>
      <c r="S179" s="172">
        <f>H179</f>
        <v>319.19580000000002</v>
      </c>
      <c r="T179" s="172">
        <f>J179</f>
        <v>0</v>
      </c>
      <c r="U179" s="172">
        <f t="shared" si="185"/>
        <v>14.805000000000001</v>
      </c>
      <c r="V179" s="172">
        <f t="shared" si="186"/>
        <v>281.29500000000002</v>
      </c>
      <c r="W179" s="172">
        <f t="shared" si="187"/>
        <v>15.959790000000002</v>
      </c>
      <c r="X179" s="172">
        <f>L179</f>
        <v>303.23601000000002</v>
      </c>
      <c r="Y179" s="170">
        <f>X179*E179</f>
        <v>0</v>
      </c>
      <c r="Z179" s="171">
        <v>0</v>
      </c>
      <c r="AA179" s="170">
        <f>R179*J179</f>
        <v>0</v>
      </c>
      <c r="AB179" s="170">
        <f>S179*E179</f>
        <v>0</v>
      </c>
      <c r="AC179" s="170">
        <f>X179*E179</f>
        <v>0</v>
      </c>
      <c r="AD179" s="173">
        <f t="shared" si="171"/>
        <v>303.23601000000002</v>
      </c>
      <c r="AE179" s="133"/>
      <c r="AF179" s="133"/>
      <c r="AG179" s="133"/>
      <c r="AH179" s="133"/>
    </row>
    <row r="180" spans="1:34" s="28" customFormat="1" ht="15" customHeight="1" x14ac:dyDescent="0.25">
      <c r="A180" s="135"/>
      <c r="B180" s="418" t="s">
        <v>399</v>
      </c>
      <c r="C180" s="425" t="s">
        <v>401</v>
      </c>
      <c r="D180" s="419" t="s">
        <v>990</v>
      </c>
      <c r="E180" s="394">
        <v>0</v>
      </c>
      <c r="F180" s="395">
        <f>IF($D$8="A VISTA",Planilha2!B165,Planilha2!B165)</f>
        <v>310.5</v>
      </c>
      <c r="G180" s="396">
        <v>7.8E-2</v>
      </c>
      <c r="H180" s="395">
        <f>IFERROR(F180*(1+G180),#REF!)</f>
        <v>334.71899999999999</v>
      </c>
      <c r="I180" s="395">
        <f t="shared" si="184"/>
        <v>0</v>
      </c>
      <c r="J180" s="397">
        <f>SUM(E180*H180)</f>
        <v>0</v>
      </c>
      <c r="K180" s="170">
        <f>Planilha2!C165</f>
        <v>294.97500000000002</v>
      </c>
      <c r="L180" s="171">
        <f>K180*G180+K180</f>
        <v>317.98305000000005</v>
      </c>
      <c r="M180" s="170">
        <f>K180*E180</f>
        <v>0</v>
      </c>
      <c r="N180" s="170">
        <f>L180*E180</f>
        <v>0</v>
      </c>
      <c r="O180" s="140"/>
      <c r="P180" s="170">
        <f>H180</f>
        <v>334.71899999999999</v>
      </c>
      <c r="Q180" s="170">
        <f>L180</f>
        <v>317.98305000000005</v>
      </c>
      <c r="R180" s="172">
        <f>F180</f>
        <v>310.5</v>
      </c>
      <c r="S180" s="172">
        <f>H180</f>
        <v>334.71899999999999</v>
      </c>
      <c r="T180" s="172">
        <f>J180</f>
        <v>0</v>
      </c>
      <c r="U180" s="172">
        <f t="shared" si="185"/>
        <v>15.525</v>
      </c>
      <c r="V180" s="172">
        <f t="shared" si="186"/>
        <v>294.97500000000002</v>
      </c>
      <c r="W180" s="172">
        <f t="shared" si="187"/>
        <v>16.735949999999999</v>
      </c>
      <c r="X180" s="172">
        <f>L180</f>
        <v>317.98305000000005</v>
      </c>
      <c r="Y180" s="170">
        <f>X180*E180</f>
        <v>0</v>
      </c>
      <c r="Z180" s="171">
        <v>0</v>
      </c>
      <c r="AA180" s="170">
        <f>R180*J180</f>
        <v>0</v>
      </c>
      <c r="AB180" s="170">
        <f>S180*E180</f>
        <v>0</v>
      </c>
      <c r="AC180" s="170">
        <f>X180*E180</f>
        <v>0</v>
      </c>
      <c r="AD180" s="173">
        <f t="shared" si="171"/>
        <v>317.98305000000005</v>
      </c>
      <c r="AE180" s="133"/>
      <c r="AF180" s="133"/>
      <c r="AG180" s="133"/>
      <c r="AH180" s="133"/>
    </row>
    <row r="181" spans="1:34" s="28" customFormat="1" ht="18.75" customHeight="1" x14ac:dyDescent="0.25">
      <c r="A181" s="135"/>
      <c r="B181" s="157" t="s">
        <v>12</v>
      </c>
      <c r="C181" s="210" t="s">
        <v>13</v>
      </c>
      <c r="D181" s="208" t="s">
        <v>540</v>
      </c>
      <c r="E181" s="160" t="s">
        <v>15</v>
      </c>
      <c r="F181" s="161" t="s">
        <v>607</v>
      </c>
      <c r="G181" s="162" t="s">
        <v>500</v>
      </c>
      <c r="H181" s="161" t="s">
        <v>609</v>
      </c>
      <c r="I181" s="161" t="s">
        <v>615</v>
      </c>
      <c r="J181" s="161" t="s">
        <v>16</v>
      </c>
      <c r="K181" s="161" t="s">
        <v>606</v>
      </c>
      <c r="L181" s="162" t="s">
        <v>908</v>
      </c>
      <c r="M181" s="161" t="s">
        <v>615</v>
      </c>
      <c r="N181" s="161" t="s">
        <v>16</v>
      </c>
      <c r="O181" s="140"/>
      <c r="P181" s="161" t="s">
        <v>853</v>
      </c>
      <c r="Q181" s="161" t="s">
        <v>606</v>
      </c>
      <c r="R181" s="162" t="s">
        <v>910</v>
      </c>
      <c r="S181" s="162" t="s">
        <v>891</v>
      </c>
      <c r="T181" s="162" t="s">
        <v>892</v>
      </c>
      <c r="U181" s="163" t="s">
        <v>894</v>
      </c>
      <c r="V181" s="162" t="s">
        <v>870</v>
      </c>
      <c r="W181" s="163" t="s">
        <v>895</v>
      </c>
      <c r="X181" s="162" t="s">
        <v>893</v>
      </c>
      <c r="Y181" s="161" t="s">
        <v>596</v>
      </c>
      <c r="Z181" s="161" t="s">
        <v>861</v>
      </c>
      <c r="AA181" s="161" t="s">
        <v>860</v>
      </c>
      <c r="AB181" s="161" t="s">
        <v>859</v>
      </c>
      <c r="AC181" s="161" t="s">
        <v>858</v>
      </c>
      <c r="AD181" s="161" t="s">
        <v>874</v>
      </c>
      <c r="AE181" s="133"/>
      <c r="AF181" s="133"/>
      <c r="AG181" s="133"/>
      <c r="AH181" s="133"/>
    </row>
    <row r="182" spans="1:34" s="28" customFormat="1" ht="15" customHeight="1" x14ac:dyDescent="0.25">
      <c r="A182" s="135"/>
      <c r="B182" s="310" t="s">
        <v>536</v>
      </c>
      <c r="C182" s="311" t="s">
        <v>541</v>
      </c>
      <c r="D182" s="307" t="s">
        <v>991</v>
      </c>
      <c r="E182" s="300">
        <v>0</v>
      </c>
      <c r="F182" s="301">
        <f>IF($D$8="A VISTA",Planilha2!B167,Planilha2!B167)</f>
        <v>189</v>
      </c>
      <c r="G182" s="302">
        <v>7.8E-2</v>
      </c>
      <c r="H182" s="301">
        <f>IFERROR(F182*(1+G182),#REF!)</f>
        <v>203.74200000000002</v>
      </c>
      <c r="I182" s="167">
        <f t="shared" si="184"/>
        <v>0</v>
      </c>
      <c r="J182" s="303">
        <f>SUM(E182*H182)</f>
        <v>0</v>
      </c>
      <c r="K182" s="178">
        <f>Planilha2!B167</f>
        <v>189</v>
      </c>
      <c r="L182" s="179">
        <f>K182*G182+K182</f>
        <v>203.74199999999999</v>
      </c>
      <c r="M182" s="178">
        <f>K182*E182</f>
        <v>0</v>
      </c>
      <c r="N182" s="178">
        <f>L182*E182</f>
        <v>0</v>
      </c>
      <c r="O182" s="140"/>
      <c r="P182" s="176">
        <f>H182</f>
        <v>203.74200000000002</v>
      </c>
      <c r="Q182" s="176">
        <f>L182</f>
        <v>203.74199999999999</v>
      </c>
      <c r="R182" s="188">
        <f>PROMO!C184</f>
        <v>189</v>
      </c>
      <c r="S182" s="188">
        <f>R182+R182*G182</f>
        <v>203.74199999999999</v>
      </c>
      <c r="T182" s="188">
        <f>E182*S182</f>
        <v>0</v>
      </c>
      <c r="U182" s="172">
        <f t="shared" ref="U182:U183" si="188">R182*5%</f>
        <v>9.4500000000000011</v>
      </c>
      <c r="V182" s="188">
        <f t="shared" ref="V182:V183" si="189">R182-U182</f>
        <v>179.55</v>
      </c>
      <c r="W182" s="172">
        <f t="shared" ref="W182:W183" si="190">S182*5%</f>
        <v>10.187100000000001</v>
      </c>
      <c r="X182" s="188">
        <f t="shared" ref="X182:X183" si="191">S182-W182</f>
        <v>193.55489999999998</v>
      </c>
      <c r="Y182" s="176">
        <f>X182*E182</f>
        <v>0</v>
      </c>
      <c r="Z182" s="176">
        <v>0</v>
      </c>
      <c r="AA182" s="176">
        <f>R182*J182</f>
        <v>0</v>
      </c>
      <c r="AB182" s="176">
        <f>S182*E182</f>
        <v>0</v>
      </c>
      <c r="AC182" s="178">
        <f>X182*E182</f>
        <v>0</v>
      </c>
      <c r="AD182" s="176">
        <f>X182-AB182</f>
        <v>193.55489999999998</v>
      </c>
      <c r="AE182" s="133"/>
      <c r="AF182" s="133"/>
      <c r="AG182" s="133"/>
      <c r="AH182" s="133"/>
    </row>
    <row r="183" spans="1:34" s="28" customFormat="1" ht="15" customHeight="1" x14ac:dyDescent="0.25">
      <c r="A183" s="135"/>
      <c r="B183" s="310" t="s">
        <v>538</v>
      </c>
      <c r="C183" s="311" t="s">
        <v>542</v>
      </c>
      <c r="D183" s="307" t="s">
        <v>992</v>
      </c>
      <c r="E183" s="300">
        <v>0</v>
      </c>
      <c r="F183" s="301">
        <f>IF($D$8="A VISTA",Planilha2!B168,Planilha2!B168)</f>
        <v>189</v>
      </c>
      <c r="G183" s="302">
        <v>7.8E-2</v>
      </c>
      <c r="H183" s="301">
        <f>IFERROR(F183*(1+G183),#REF!)</f>
        <v>203.74200000000002</v>
      </c>
      <c r="I183" s="167">
        <f t="shared" si="184"/>
        <v>0</v>
      </c>
      <c r="J183" s="303">
        <f>SUM(E183*H183)</f>
        <v>0</v>
      </c>
      <c r="K183" s="178">
        <f>Planilha2!B168</f>
        <v>189</v>
      </c>
      <c r="L183" s="179">
        <f>K183*G183+K183</f>
        <v>203.74199999999999</v>
      </c>
      <c r="M183" s="178">
        <f>K183*E183</f>
        <v>0</v>
      </c>
      <c r="N183" s="178">
        <f>L183*E183</f>
        <v>0</v>
      </c>
      <c r="O183" s="140"/>
      <c r="P183" s="176">
        <f>H183</f>
        <v>203.74200000000002</v>
      </c>
      <c r="Q183" s="176">
        <f>L183</f>
        <v>203.74199999999999</v>
      </c>
      <c r="R183" s="188">
        <f>PROMO!C183</f>
        <v>189</v>
      </c>
      <c r="S183" s="188">
        <f>R183+R183*G183</f>
        <v>203.74199999999999</v>
      </c>
      <c r="T183" s="188">
        <f>E183*S183</f>
        <v>0</v>
      </c>
      <c r="U183" s="172">
        <f t="shared" si="188"/>
        <v>9.4500000000000011</v>
      </c>
      <c r="V183" s="188">
        <f t="shared" si="189"/>
        <v>179.55</v>
      </c>
      <c r="W183" s="172">
        <f t="shared" si="190"/>
        <v>10.187100000000001</v>
      </c>
      <c r="X183" s="188">
        <f t="shared" si="191"/>
        <v>193.55489999999998</v>
      </c>
      <c r="Y183" s="176">
        <f>X183*E183</f>
        <v>0</v>
      </c>
      <c r="Z183" s="176">
        <v>0</v>
      </c>
      <c r="AA183" s="176">
        <f>R183*J183</f>
        <v>0</v>
      </c>
      <c r="AB183" s="176">
        <f>S183*E183</f>
        <v>0</v>
      </c>
      <c r="AC183" s="178">
        <f>X183*E183</f>
        <v>0</v>
      </c>
      <c r="AD183" s="176">
        <f>X183-AB183</f>
        <v>193.55489999999998</v>
      </c>
      <c r="AE183" s="133"/>
      <c r="AF183" s="133"/>
      <c r="AG183" s="133"/>
      <c r="AH183" s="133"/>
    </row>
    <row r="184" spans="1:34" ht="15" customHeight="1" x14ac:dyDescent="0.25">
      <c r="A184" s="135"/>
      <c r="B184" s="157" t="s">
        <v>12</v>
      </c>
      <c r="C184" s="158" t="s">
        <v>13</v>
      </c>
      <c r="D184" s="208" t="s">
        <v>154</v>
      </c>
      <c r="E184" s="160" t="s">
        <v>15</v>
      </c>
      <c r="F184" s="161" t="s">
        <v>607</v>
      </c>
      <c r="G184" s="162" t="s">
        <v>500</v>
      </c>
      <c r="H184" s="161" t="s">
        <v>609</v>
      </c>
      <c r="I184" s="161" t="s">
        <v>615</v>
      </c>
      <c r="J184" s="161" t="s">
        <v>16</v>
      </c>
      <c r="K184" s="161" t="s">
        <v>606</v>
      </c>
      <c r="L184" s="162" t="s">
        <v>908</v>
      </c>
      <c r="M184" s="161" t="s">
        <v>615</v>
      </c>
      <c r="N184" s="161" t="s">
        <v>16</v>
      </c>
      <c r="O184" s="140"/>
      <c r="P184" s="161" t="s">
        <v>853</v>
      </c>
      <c r="Q184" s="161" t="s">
        <v>606</v>
      </c>
      <c r="R184" s="162" t="str">
        <f>F184</f>
        <v>VALOR  A PRAZO</v>
      </c>
      <c r="S184" s="162" t="str">
        <f>H184</f>
        <v>VALOR  COM IPI</v>
      </c>
      <c r="T184" s="162" t="str">
        <f>J184</f>
        <v>TOTAL PRODUTOS</v>
      </c>
      <c r="U184" s="163" t="str">
        <f>N184</f>
        <v>TOTAL PRODUTOS</v>
      </c>
      <c r="V184" s="162" t="str">
        <f>K184</f>
        <v>VALOR A VISTA</v>
      </c>
      <c r="W184" s="163" t="s">
        <v>895</v>
      </c>
      <c r="X184" s="162" t="str">
        <f>L184</f>
        <v>VALOR C/ IPI</v>
      </c>
      <c r="Y184" s="161" t="s">
        <v>596</v>
      </c>
      <c r="Z184" s="161" t="s">
        <v>861</v>
      </c>
      <c r="AA184" s="161" t="s">
        <v>860</v>
      </c>
      <c r="AB184" s="161" t="s">
        <v>859</v>
      </c>
      <c r="AC184" s="161" t="s">
        <v>858</v>
      </c>
      <c r="AD184" s="161" t="s">
        <v>874</v>
      </c>
      <c r="AE184" s="133"/>
      <c r="AF184" s="133"/>
      <c r="AG184" s="133"/>
      <c r="AH184" s="133"/>
    </row>
    <row r="185" spans="1:34" ht="15" customHeight="1" x14ac:dyDescent="0.25">
      <c r="A185" s="135"/>
      <c r="B185" s="12" t="s">
        <v>155</v>
      </c>
      <c r="C185" s="165">
        <v>7898670764253</v>
      </c>
      <c r="D185" s="246" t="s">
        <v>993</v>
      </c>
      <c r="E185" s="166">
        <v>0</v>
      </c>
      <c r="F185" s="167">
        <f>IF($D$8="A VISTA",Planilha2!B170,Planilha2!B170)</f>
        <v>49.34</v>
      </c>
      <c r="G185" s="168">
        <v>6.5000000000000002E-2</v>
      </c>
      <c r="H185" s="167">
        <f>IFERROR(F185*(1+G185),#REF!)</f>
        <v>52.5471</v>
      </c>
      <c r="I185" s="167">
        <f>F185*E185</f>
        <v>0</v>
      </c>
      <c r="J185" s="169">
        <f>SUM(E185*H185)</f>
        <v>0</v>
      </c>
      <c r="K185" s="170">
        <f>Planilha2!C170</f>
        <v>46.873000000000005</v>
      </c>
      <c r="L185" s="171">
        <f>K185*G185+K185</f>
        <v>49.919745000000006</v>
      </c>
      <c r="M185" s="170">
        <f>K185*E185</f>
        <v>0</v>
      </c>
      <c r="N185" s="170">
        <f>L185*E185</f>
        <v>0</v>
      </c>
      <c r="O185" s="140"/>
      <c r="P185" s="170">
        <f>H185</f>
        <v>52.5471</v>
      </c>
      <c r="Q185" s="170">
        <f>L185</f>
        <v>49.919745000000006</v>
      </c>
      <c r="R185" s="172">
        <f>F185</f>
        <v>49.34</v>
      </c>
      <c r="S185" s="172">
        <f>H185</f>
        <v>52.5471</v>
      </c>
      <c r="T185" s="172">
        <f>J185</f>
        <v>0</v>
      </c>
      <c r="U185" s="172">
        <f t="shared" ref="U185" si="192">R185*5%</f>
        <v>2.4670000000000005</v>
      </c>
      <c r="V185" s="172">
        <f t="shared" ref="V185" si="193">R185-U185</f>
        <v>46.873000000000005</v>
      </c>
      <c r="W185" s="172">
        <f t="shared" ref="W185" si="194">S185*5%</f>
        <v>2.6273550000000001</v>
      </c>
      <c r="X185" s="172">
        <f>L185</f>
        <v>49.919745000000006</v>
      </c>
      <c r="Y185" s="170">
        <f>X185*E185</f>
        <v>0</v>
      </c>
      <c r="Z185" s="170">
        <f>R185*E185</f>
        <v>0</v>
      </c>
      <c r="AA185" s="170">
        <v>0</v>
      </c>
      <c r="AB185" s="170">
        <f>S185*E185</f>
        <v>0</v>
      </c>
      <c r="AC185" s="170">
        <f>X185*E185</f>
        <v>0</v>
      </c>
      <c r="AD185" s="173">
        <f t="shared" si="171"/>
        <v>49.919745000000006</v>
      </c>
      <c r="AE185" s="133"/>
      <c r="AF185" s="133"/>
      <c r="AG185" s="133"/>
      <c r="AH185" s="133"/>
    </row>
    <row r="186" spans="1:34" ht="15" customHeight="1" x14ac:dyDescent="0.25">
      <c r="A186" s="135"/>
      <c r="B186" s="157" t="s">
        <v>12</v>
      </c>
      <c r="C186" s="158" t="s">
        <v>13</v>
      </c>
      <c r="D186" s="160" t="s">
        <v>156</v>
      </c>
      <c r="E186" s="160" t="s">
        <v>15</v>
      </c>
      <c r="F186" s="161" t="s">
        <v>607</v>
      </c>
      <c r="G186" s="162" t="s">
        <v>500</v>
      </c>
      <c r="H186" s="161" t="s">
        <v>609</v>
      </c>
      <c r="I186" s="161" t="s">
        <v>615</v>
      </c>
      <c r="J186" s="161" t="s">
        <v>16</v>
      </c>
      <c r="K186" s="161" t="s">
        <v>606</v>
      </c>
      <c r="L186" s="162" t="s">
        <v>908</v>
      </c>
      <c r="M186" s="161" t="s">
        <v>615</v>
      </c>
      <c r="N186" s="161" t="s">
        <v>16</v>
      </c>
      <c r="O186" s="140"/>
      <c r="P186" s="161" t="s">
        <v>853</v>
      </c>
      <c r="Q186" s="161" t="s">
        <v>606</v>
      </c>
      <c r="R186" s="162" t="s">
        <v>910</v>
      </c>
      <c r="S186" s="162" t="s">
        <v>891</v>
      </c>
      <c r="T186" s="162" t="s">
        <v>892</v>
      </c>
      <c r="U186" s="163" t="s">
        <v>894</v>
      </c>
      <c r="V186" s="162" t="s">
        <v>870</v>
      </c>
      <c r="W186" s="163" t="s">
        <v>895</v>
      </c>
      <c r="X186" s="162" t="s">
        <v>893</v>
      </c>
      <c r="Y186" s="161" t="s">
        <v>596</v>
      </c>
      <c r="Z186" s="161" t="s">
        <v>861</v>
      </c>
      <c r="AA186" s="161" t="s">
        <v>860</v>
      </c>
      <c r="AB186" s="161" t="s">
        <v>859</v>
      </c>
      <c r="AC186" s="161" t="s">
        <v>858</v>
      </c>
      <c r="AD186" s="161" t="s">
        <v>874</v>
      </c>
      <c r="AE186" s="133"/>
      <c r="AF186" s="133"/>
      <c r="AG186" s="133"/>
      <c r="AH186" s="133"/>
    </row>
    <row r="187" spans="1:34" s="28" customFormat="1" ht="15" customHeight="1" x14ac:dyDescent="0.25">
      <c r="A187" s="135"/>
      <c r="B187" s="321" t="s">
        <v>157</v>
      </c>
      <c r="C187" s="321" t="s">
        <v>158</v>
      </c>
      <c r="D187" s="321" t="s">
        <v>159</v>
      </c>
      <c r="E187" s="300">
        <v>0</v>
      </c>
      <c r="F187" s="301">
        <f>IF($D$8="A VISTA",Planilha2!B174,Planilha2!B174)</f>
        <v>17.899999999999999</v>
      </c>
      <c r="G187" s="302">
        <v>0</v>
      </c>
      <c r="H187" s="301">
        <f>IFERROR(F187*(1+G187),#REF!)</f>
        <v>17.899999999999999</v>
      </c>
      <c r="I187" s="301">
        <f t="shared" ref="I187:I192" si="195">F187*E187</f>
        <v>0</v>
      </c>
      <c r="J187" s="303">
        <f t="shared" ref="J187:J192" si="196">SUM(E187*H187)</f>
        <v>0</v>
      </c>
      <c r="K187" s="176">
        <f>Planilha2!C174</f>
        <v>17.004999999999999</v>
      </c>
      <c r="L187" s="171">
        <f t="shared" ref="L187:L192" si="197">K187*G187+K187</f>
        <v>17.004999999999999</v>
      </c>
      <c r="M187" s="176">
        <f t="shared" ref="M187:M192" si="198">K187*E187</f>
        <v>0</v>
      </c>
      <c r="N187" s="176">
        <f t="shared" ref="N187:N192" si="199">L187*E187</f>
        <v>0</v>
      </c>
      <c r="O187" s="140"/>
      <c r="P187" s="176">
        <f t="shared" ref="P187:P192" si="200">H187</f>
        <v>17.899999999999999</v>
      </c>
      <c r="Q187" s="176">
        <f t="shared" ref="Q187:Q192" si="201">L187</f>
        <v>17.004999999999999</v>
      </c>
      <c r="R187" s="176">
        <f t="shared" ref="R187:R192" si="202">F187</f>
        <v>17.899999999999999</v>
      </c>
      <c r="S187" s="176">
        <f t="shared" ref="S187:S192" si="203">R187+R187*G187</f>
        <v>17.899999999999999</v>
      </c>
      <c r="T187" s="176">
        <f t="shared" ref="T187:T192" si="204">E187*S187</f>
        <v>0</v>
      </c>
      <c r="U187" s="176">
        <f t="shared" ref="U187:U192" si="205">R187*5%</f>
        <v>0.89500000000000002</v>
      </c>
      <c r="V187" s="176">
        <f t="shared" ref="V187:V192" si="206">R187-U187</f>
        <v>17.004999999999999</v>
      </c>
      <c r="W187" s="176">
        <f t="shared" ref="W187:W192" si="207">S187*5%</f>
        <v>0.89500000000000002</v>
      </c>
      <c r="X187" s="176">
        <f t="shared" ref="X187:X192" si="208">S187-W187</f>
        <v>17.004999999999999</v>
      </c>
      <c r="Y187" s="176">
        <f t="shared" ref="Y187:Y192" si="209">X187*E187</f>
        <v>0</v>
      </c>
      <c r="Z187" s="176">
        <f t="shared" ref="Z187:Z192" si="210">S187*E187</f>
        <v>0</v>
      </c>
      <c r="AA187" s="176">
        <f t="shared" ref="AA187:AA192" si="211">Z187*5%</f>
        <v>0</v>
      </c>
      <c r="AB187" s="176">
        <f t="shared" ref="AB187:AB192" si="212">S187*E187</f>
        <v>0</v>
      </c>
      <c r="AC187" s="176">
        <f t="shared" ref="AC187:AC192" si="213">X187*E187</f>
        <v>0</v>
      </c>
      <c r="AD187" s="267">
        <f t="shared" si="171"/>
        <v>17.004999999999999</v>
      </c>
      <c r="AE187" s="133"/>
      <c r="AF187" s="133"/>
      <c r="AG187" s="133"/>
      <c r="AH187" s="133"/>
    </row>
    <row r="188" spans="1:34" s="28" customFormat="1" ht="15" customHeight="1" x14ac:dyDescent="0.25">
      <c r="A188" s="135"/>
      <c r="B188" s="321" t="s">
        <v>160</v>
      </c>
      <c r="C188" s="321" t="s">
        <v>161</v>
      </c>
      <c r="D188" s="321" t="s">
        <v>162</v>
      </c>
      <c r="E188" s="300">
        <v>0</v>
      </c>
      <c r="F188" s="301">
        <f>IF($D$8="A VISTA",Planilha2!B175,Planilha2!B175)</f>
        <v>17.899999999999999</v>
      </c>
      <c r="G188" s="302">
        <v>0</v>
      </c>
      <c r="H188" s="301">
        <f>IFERROR(F188*(1+G188),#REF!)</f>
        <v>17.899999999999999</v>
      </c>
      <c r="I188" s="301">
        <f>F188*E188</f>
        <v>0</v>
      </c>
      <c r="J188" s="303">
        <f t="shared" si="196"/>
        <v>0</v>
      </c>
      <c r="K188" s="176">
        <f>Planilha2!C175</f>
        <v>17.004999999999999</v>
      </c>
      <c r="L188" s="171">
        <f t="shared" si="197"/>
        <v>17.004999999999999</v>
      </c>
      <c r="M188" s="176">
        <f t="shared" si="198"/>
        <v>0</v>
      </c>
      <c r="N188" s="176">
        <f t="shared" si="199"/>
        <v>0</v>
      </c>
      <c r="O188" s="140"/>
      <c r="P188" s="176">
        <f t="shared" si="200"/>
        <v>17.899999999999999</v>
      </c>
      <c r="Q188" s="176">
        <f t="shared" si="201"/>
        <v>17.004999999999999</v>
      </c>
      <c r="R188" s="176">
        <f t="shared" si="202"/>
        <v>17.899999999999999</v>
      </c>
      <c r="S188" s="176">
        <f t="shared" si="203"/>
        <v>17.899999999999999</v>
      </c>
      <c r="T188" s="176">
        <f t="shared" si="204"/>
        <v>0</v>
      </c>
      <c r="U188" s="176">
        <f t="shared" si="205"/>
        <v>0.89500000000000002</v>
      </c>
      <c r="V188" s="176">
        <f t="shared" si="206"/>
        <v>17.004999999999999</v>
      </c>
      <c r="W188" s="176">
        <f t="shared" si="207"/>
        <v>0.89500000000000002</v>
      </c>
      <c r="X188" s="176">
        <f t="shared" si="208"/>
        <v>17.004999999999999</v>
      </c>
      <c r="Y188" s="176">
        <f t="shared" si="209"/>
        <v>0</v>
      </c>
      <c r="Z188" s="176">
        <f t="shared" si="210"/>
        <v>0</v>
      </c>
      <c r="AA188" s="176">
        <f t="shared" si="211"/>
        <v>0</v>
      </c>
      <c r="AB188" s="176">
        <f t="shared" si="212"/>
        <v>0</v>
      </c>
      <c r="AC188" s="176">
        <f t="shared" si="213"/>
        <v>0</v>
      </c>
      <c r="AD188" s="267">
        <f t="shared" si="171"/>
        <v>17.004999999999999</v>
      </c>
      <c r="AE188" s="133"/>
      <c r="AF188" s="133"/>
      <c r="AG188" s="133"/>
      <c r="AH188" s="133"/>
    </row>
    <row r="189" spans="1:34" s="28" customFormat="1" ht="15" customHeight="1" x14ac:dyDescent="0.25">
      <c r="A189" s="135"/>
      <c r="B189" s="321" t="s">
        <v>163</v>
      </c>
      <c r="C189" s="321" t="s">
        <v>164</v>
      </c>
      <c r="D189" s="321" t="s">
        <v>165</v>
      </c>
      <c r="E189" s="300">
        <v>0</v>
      </c>
      <c r="F189" s="301">
        <f>IF($D$8="A VISTA",Planilha2!B176,Planilha2!B176)</f>
        <v>17.899999999999999</v>
      </c>
      <c r="G189" s="302">
        <v>0</v>
      </c>
      <c r="H189" s="301">
        <f>IFERROR(F189*(1+G189),#REF!)</f>
        <v>17.899999999999999</v>
      </c>
      <c r="I189" s="301">
        <f t="shared" si="195"/>
        <v>0</v>
      </c>
      <c r="J189" s="303">
        <f t="shared" si="196"/>
        <v>0</v>
      </c>
      <c r="K189" s="176">
        <f>Planilha2!C176</f>
        <v>17.004999999999999</v>
      </c>
      <c r="L189" s="171">
        <f t="shared" si="197"/>
        <v>17.004999999999999</v>
      </c>
      <c r="M189" s="176">
        <f t="shared" si="198"/>
        <v>0</v>
      </c>
      <c r="N189" s="176">
        <f t="shared" si="199"/>
        <v>0</v>
      </c>
      <c r="O189" s="140"/>
      <c r="P189" s="176">
        <f t="shared" si="200"/>
        <v>17.899999999999999</v>
      </c>
      <c r="Q189" s="176">
        <f t="shared" si="201"/>
        <v>17.004999999999999</v>
      </c>
      <c r="R189" s="176">
        <f t="shared" si="202"/>
        <v>17.899999999999999</v>
      </c>
      <c r="S189" s="176">
        <f t="shared" si="203"/>
        <v>17.899999999999999</v>
      </c>
      <c r="T189" s="176">
        <f t="shared" si="204"/>
        <v>0</v>
      </c>
      <c r="U189" s="176">
        <f t="shared" si="205"/>
        <v>0.89500000000000002</v>
      </c>
      <c r="V189" s="176">
        <f t="shared" si="206"/>
        <v>17.004999999999999</v>
      </c>
      <c r="W189" s="176">
        <f t="shared" si="207"/>
        <v>0.89500000000000002</v>
      </c>
      <c r="X189" s="176">
        <f t="shared" si="208"/>
        <v>17.004999999999999</v>
      </c>
      <c r="Y189" s="176">
        <f t="shared" si="209"/>
        <v>0</v>
      </c>
      <c r="Z189" s="176">
        <f t="shared" si="210"/>
        <v>0</v>
      </c>
      <c r="AA189" s="176">
        <f t="shared" si="211"/>
        <v>0</v>
      </c>
      <c r="AB189" s="176">
        <f t="shared" si="212"/>
        <v>0</v>
      </c>
      <c r="AC189" s="176">
        <f t="shared" si="213"/>
        <v>0</v>
      </c>
      <c r="AD189" s="267">
        <f t="shared" si="171"/>
        <v>17.004999999999999</v>
      </c>
      <c r="AE189" s="133"/>
      <c r="AF189" s="133"/>
      <c r="AG189" s="133"/>
      <c r="AH189" s="133"/>
    </row>
    <row r="190" spans="1:34" s="28" customFormat="1" ht="15" customHeight="1" x14ac:dyDescent="0.25">
      <c r="A190" s="135"/>
      <c r="B190" s="321" t="s">
        <v>166</v>
      </c>
      <c r="C190" s="321" t="s">
        <v>167</v>
      </c>
      <c r="D190" s="321" t="s">
        <v>168</v>
      </c>
      <c r="E190" s="300">
        <v>0</v>
      </c>
      <c r="F190" s="301">
        <f>IF($D$8="A VISTA",Planilha2!B177,Planilha2!B177)</f>
        <v>18.899999999999999</v>
      </c>
      <c r="G190" s="302">
        <v>0</v>
      </c>
      <c r="H190" s="301">
        <f>IFERROR(F190*(1+G190),#REF!)</f>
        <v>18.899999999999999</v>
      </c>
      <c r="I190" s="301">
        <f t="shared" si="195"/>
        <v>0</v>
      </c>
      <c r="J190" s="303">
        <f t="shared" si="196"/>
        <v>0</v>
      </c>
      <c r="K190" s="176">
        <f>Planilha2!C177</f>
        <v>17.954999999999998</v>
      </c>
      <c r="L190" s="171">
        <f t="shared" si="197"/>
        <v>17.954999999999998</v>
      </c>
      <c r="M190" s="176">
        <f t="shared" si="198"/>
        <v>0</v>
      </c>
      <c r="N190" s="176">
        <f t="shared" si="199"/>
        <v>0</v>
      </c>
      <c r="O190" s="140"/>
      <c r="P190" s="176">
        <f t="shared" si="200"/>
        <v>18.899999999999999</v>
      </c>
      <c r="Q190" s="176">
        <f t="shared" si="201"/>
        <v>17.954999999999998</v>
      </c>
      <c r="R190" s="176">
        <f t="shared" si="202"/>
        <v>18.899999999999999</v>
      </c>
      <c r="S190" s="176">
        <f t="shared" si="203"/>
        <v>18.899999999999999</v>
      </c>
      <c r="T190" s="176">
        <f t="shared" si="204"/>
        <v>0</v>
      </c>
      <c r="U190" s="176">
        <f t="shared" si="205"/>
        <v>0.94499999999999995</v>
      </c>
      <c r="V190" s="176">
        <f t="shared" si="206"/>
        <v>17.954999999999998</v>
      </c>
      <c r="W190" s="176">
        <f t="shared" si="207"/>
        <v>0.94499999999999995</v>
      </c>
      <c r="X190" s="176">
        <f t="shared" si="208"/>
        <v>17.954999999999998</v>
      </c>
      <c r="Y190" s="176">
        <f t="shared" si="209"/>
        <v>0</v>
      </c>
      <c r="Z190" s="176">
        <f t="shared" si="210"/>
        <v>0</v>
      </c>
      <c r="AA190" s="176">
        <f t="shared" si="211"/>
        <v>0</v>
      </c>
      <c r="AB190" s="176">
        <f t="shared" si="212"/>
        <v>0</v>
      </c>
      <c r="AC190" s="176">
        <f t="shared" si="213"/>
        <v>0</v>
      </c>
      <c r="AD190" s="267">
        <f t="shared" si="171"/>
        <v>17.954999999999998</v>
      </c>
      <c r="AE190" s="133"/>
      <c r="AF190" s="133"/>
      <c r="AG190" s="133"/>
      <c r="AH190" s="133"/>
    </row>
    <row r="191" spans="1:34" s="28" customFormat="1" ht="15" customHeight="1" x14ac:dyDescent="0.25">
      <c r="A191" s="135"/>
      <c r="B191" s="321" t="s">
        <v>169</v>
      </c>
      <c r="C191" s="321" t="s">
        <v>170</v>
      </c>
      <c r="D191" s="321" t="s">
        <v>171</v>
      </c>
      <c r="E191" s="300">
        <v>0</v>
      </c>
      <c r="F191" s="301">
        <f>IF($D$8="A VISTA",Planilha2!B178,Planilha2!B178)</f>
        <v>18.899999999999999</v>
      </c>
      <c r="G191" s="302">
        <v>0</v>
      </c>
      <c r="H191" s="301">
        <f>IFERROR(F191*(1+G191),#REF!)</f>
        <v>18.899999999999999</v>
      </c>
      <c r="I191" s="301">
        <f t="shared" si="195"/>
        <v>0</v>
      </c>
      <c r="J191" s="303">
        <f t="shared" si="196"/>
        <v>0</v>
      </c>
      <c r="K191" s="176">
        <f>Planilha2!C178</f>
        <v>17.954999999999998</v>
      </c>
      <c r="L191" s="171">
        <f t="shared" si="197"/>
        <v>17.954999999999998</v>
      </c>
      <c r="M191" s="176">
        <f t="shared" si="198"/>
        <v>0</v>
      </c>
      <c r="N191" s="176">
        <f t="shared" si="199"/>
        <v>0</v>
      </c>
      <c r="O191" s="140"/>
      <c r="P191" s="176">
        <f t="shared" si="200"/>
        <v>18.899999999999999</v>
      </c>
      <c r="Q191" s="176">
        <f t="shared" si="201"/>
        <v>17.954999999999998</v>
      </c>
      <c r="R191" s="176">
        <f t="shared" si="202"/>
        <v>18.899999999999999</v>
      </c>
      <c r="S191" s="176">
        <f t="shared" si="203"/>
        <v>18.899999999999999</v>
      </c>
      <c r="T191" s="176">
        <f t="shared" si="204"/>
        <v>0</v>
      </c>
      <c r="U191" s="176">
        <f t="shared" si="205"/>
        <v>0.94499999999999995</v>
      </c>
      <c r="V191" s="176">
        <f t="shared" si="206"/>
        <v>17.954999999999998</v>
      </c>
      <c r="W191" s="176">
        <f t="shared" si="207"/>
        <v>0.94499999999999995</v>
      </c>
      <c r="X191" s="176">
        <f t="shared" si="208"/>
        <v>17.954999999999998</v>
      </c>
      <c r="Y191" s="176">
        <f t="shared" si="209"/>
        <v>0</v>
      </c>
      <c r="Z191" s="176">
        <f t="shared" si="210"/>
        <v>0</v>
      </c>
      <c r="AA191" s="176">
        <f t="shared" si="211"/>
        <v>0</v>
      </c>
      <c r="AB191" s="176">
        <f t="shared" si="212"/>
        <v>0</v>
      </c>
      <c r="AC191" s="176">
        <f t="shared" si="213"/>
        <v>0</v>
      </c>
      <c r="AD191" s="267">
        <f t="shared" si="171"/>
        <v>17.954999999999998</v>
      </c>
      <c r="AE191" s="133"/>
      <c r="AF191" s="133"/>
      <c r="AG191" s="133"/>
      <c r="AH191" s="133"/>
    </row>
    <row r="192" spans="1:34" s="28" customFormat="1" x14ac:dyDescent="0.25">
      <c r="A192" s="135"/>
      <c r="B192" s="321" t="s">
        <v>172</v>
      </c>
      <c r="C192" s="321" t="s">
        <v>173</v>
      </c>
      <c r="D192" s="321" t="s">
        <v>174</v>
      </c>
      <c r="E192" s="300">
        <v>0</v>
      </c>
      <c r="F192" s="301">
        <f>IF($D$8="A VISTA",Planilha2!B179,Planilha2!B179)</f>
        <v>18.899999999999999</v>
      </c>
      <c r="G192" s="302">
        <v>0</v>
      </c>
      <c r="H192" s="301">
        <f>IFERROR(F192*(1+G192),#REF!)</f>
        <v>18.899999999999999</v>
      </c>
      <c r="I192" s="301">
        <f t="shared" si="195"/>
        <v>0</v>
      </c>
      <c r="J192" s="303">
        <f t="shared" si="196"/>
        <v>0</v>
      </c>
      <c r="K192" s="176">
        <f>Planilha2!C179</f>
        <v>17.954999999999998</v>
      </c>
      <c r="L192" s="171">
        <f t="shared" si="197"/>
        <v>17.954999999999998</v>
      </c>
      <c r="M192" s="176">
        <f t="shared" si="198"/>
        <v>0</v>
      </c>
      <c r="N192" s="176">
        <f t="shared" si="199"/>
        <v>0</v>
      </c>
      <c r="O192" s="140"/>
      <c r="P192" s="176">
        <f t="shared" si="200"/>
        <v>18.899999999999999</v>
      </c>
      <c r="Q192" s="176">
        <f t="shared" si="201"/>
        <v>17.954999999999998</v>
      </c>
      <c r="R192" s="176">
        <f t="shared" si="202"/>
        <v>18.899999999999999</v>
      </c>
      <c r="S192" s="176">
        <f t="shared" si="203"/>
        <v>18.899999999999999</v>
      </c>
      <c r="T192" s="176">
        <f t="shared" si="204"/>
        <v>0</v>
      </c>
      <c r="U192" s="176">
        <f t="shared" si="205"/>
        <v>0.94499999999999995</v>
      </c>
      <c r="V192" s="176">
        <f t="shared" si="206"/>
        <v>17.954999999999998</v>
      </c>
      <c r="W192" s="176">
        <f t="shared" si="207"/>
        <v>0.94499999999999995</v>
      </c>
      <c r="X192" s="176">
        <f t="shared" si="208"/>
        <v>17.954999999999998</v>
      </c>
      <c r="Y192" s="176">
        <f t="shared" si="209"/>
        <v>0</v>
      </c>
      <c r="Z192" s="176">
        <f t="shared" si="210"/>
        <v>0</v>
      </c>
      <c r="AA192" s="176">
        <f t="shared" si="211"/>
        <v>0</v>
      </c>
      <c r="AB192" s="176">
        <f t="shared" si="212"/>
        <v>0</v>
      </c>
      <c r="AC192" s="176">
        <f t="shared" si="213"/>
        <v>0</v>
      </c>
      <c r="AD192" s="267">
        <f t="shared" si="171"/>
        <v>17.954999999999998</v>
      </c>
      <c r="AE192" s="133"/>
      <c r="AF192" s="133"/>
      <c r="AG192" s="133"/>
      <c r="AH192" s="133"/>
    </row>
    <row r="193" spans="1:395" s="263" customFormat="1" x14ac:dyDescent="0.25">
      <c r="A193" s="260"/>
      <c r="B193" s="213" t="s">
        <v>284</v>
      </c>
      <c r="C193" s="214" t="s">
        <v>13</v>
      </c>
      <c r="D193" s="213" t="s">
        <v>1006</v>
      </c>
      <c r="E193" s="213" t="s">
        <v>15</v>
      </c>
      <c r="F193" s="161" t="s">
        <v>607</v>
      </c>
      <c r="G193" s="162" t="s">
        <v>500</v>
      </c>
      <c r="H193" s="161" t="s">
        <v>609</v>
      </c>
      <c r="I193" s="161" t="s">
        <v>615</v>
      </c>
      <c r="J193" s="215" t="s">
        <v>16</v>
      </c>
      <c r="K193" s="161" t="s">
        <v>606</v>
      </c>
      <c r="L193" s="162" t="s">
        <v>604</v>
      </c>
      <c r="M193" s="161" t="s">
        <v>615</v>
      </c>
      <c r="N193" s="161" t="s">
        <v>16</v>
      </c>
      <c r="O193" s="218"/>
      <c r="P193" s="217"/>
      <c r="Q193" s="217"/>
      <c r="R193" s="162" t="s">
        <v>910</v>
      </c>
      <c r="S193" s="162" t="s">
        <v>891</v>
      </c>
      <c r="T193" s="162" t="s">
        <v>892</v>
      </c>
      <c r="U193" s="163" t="s">
        <v>894</v>
      </c>
      <c r="V193" s="162" t="s">
        <v>870</v>
      </c>
      <c r="W193" s="163" t="s">
        <v>895</v>
      </c>
      <c r="X193" s="162" t="s">
        <v>893</v>
      </c>
      <c r="Y193" s="161" t="s">
        <v>596</v>
      </c>
      <c r="Z193" s="161" t="s">
        <v>861</v>
      </c>
      <c r="AA193" s="161" t="s">
        <v>860</v>
      </c>
      <c r="AB193" s="161" t="s">
        <v>859</v>
      </c>
      <c r="AC193" s="161" t="s">
        <v>858</v>
      </c>
      <c r="AD193" s="264"/>
      <c r="AE193" s="261"/>
      <c r="AF193" s="261"/>
      <c r="AG193" s="261"/>
      <c r="AH193" s="261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  <c r="CF193" s="262"/>
      <c r="CG193" s="262"/>
      <c r="CH193" s="262"/>
      <c r="CI193" s="262"/>
      <c r="CJ193" s="262"/>
      <c r="CK193" s="262"/>
      <c r="CL193" s="262"/>
      <c r="CM193" s="262"/>
      <c r="CN193" s="262"/>
      <c r="CO193" s="262"/>
      <c r="CP193" s="262"/>
      <c r="CQ193" s="262"/>
      <c r="CR193" s="262"/>
      <c r="CS193" s="262"/>
      <c r="CT193" s="262"/>
      <c r="CU193" s="262"/>
      <c r="CV193" s="262"/>
      <c r="CW193" s="262"/>
      <c r="CX193" s="262"/>
      <c r="CY193" s="262"/>
      <c r="CZ193" s="262"/>
      <c r="DA193" s="262"/>
      <c r="DB193" s="262"/>
      <c r="DC193" s="262"/>
      <c r="DD193" s="262"/>
      <c r="DE193" s="262"/>
      <c r="DF193" s="262"/>
      <c r="DG193" s="262"/>
      <c r="DH193" s="262"/>
      <c r="DI193" s="262"/>
      <c r="DJ193" s="262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262"/>
      <c r="DX193" s="262"/>
      <c r="DY193" s="262"/>
      <c r="DZ193" s="262"/>
      <c r="EA193" s="262"/>
      <c r="EB193" s="262"/>
      <c r="EC193" s="262"/>
      <c r="ED193" s="262"/>
      <c r="EE193" s="262"/>
      <c r="EF193" s="262"/>
      <c r="EG193" s="262"/>
      <c r="EH193" s="262"/>
      <c r="EI193" s="262"/>
      <c r="EJ193" s="262"/>
      <c r="EK193" s="262"/>
      <c r="EL193" s="262"/>
      <c r="EM193" s="262"/>
      <c r="EN193" s="262"/>
      <c r="EO193" s="262"/>
      <c r="EP193" s="262"/>
      <c r="EQ193" s="262"/>
      <c r="ER193" s="262"/>
      <c r="ES193" s="262"/>
      <c r="ET193" s="262"/>
      <c r="EU193" s="262"/>
      <c r="EV193" s="262"/>
      <c r="EW193" s="262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262"/>
      <c r="FH193" s="262"/>
      <c r="FI193" s="262"/>
      <c r="FJ193" s="262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262"/>
      <c r="FU193" s="262"/>
      <c r="FV193" s="262"/>
      <c r="FW193" s="262"/>
      <c r="FX193" s="262"/>
      <c r="FY193" s="262"/>
      <c r="FZ193" s="262"/>
      <c r="GA193" s="262"/>
      <c r="GB193" s="262"/>
      <c r="GC193" s="262"/>
      <c r="GD193" s="262"/>
      <c r="GE193" s="262"/>
      <c r="GF193" s="262"/>
      <c r="GG193" s="262"/>
      <c r="GH193" s="262"/>
      <c r="GI193" s="262"/>
      <c r="GJ193" s="262"/>
      <c r="GK193" s="262"/>
      <c r="GL193" s="262"/>
      <c r="GM193" s="262"/>
      <c r="GN193" s="262"/>
      <c r="GO193" s="262"/>
      <c r="GP193" s="262"/>
      <c r="GQ193" s="262"/>
      <c r="GR193" s="262"/>
      <c r="GS193" s="262"/>
      <c r="GT193" s="262"/>
      <c r="GU193" s="262"/>
      <c r="GV193" s="262"/>
      <c r="GW193" s="262"/>
      <c r="GX193" s="262"/>
      <c r="GY193" s="262"/>
      <c r="GZ193" s="262"/>
      <c r="HA193" s="262"/>
      <c r="HB193" s="262"/>
      <c r="HC193" s="262"/>
      <c r="HD193" s="262"/>
      <c r="HE193" s="262"/>
      <c r="HF193" s="262"/>
      <c r="HG193" s="262"/>
      <c r="HH193" s="262"/>
      <c r="HI193" s="262"/>
      <c r="HJ193" s="262"/>
      <c r="HK193" s="262"/>
      <c r="HL193" s="262"/>
      <c r="HM193" s="262"/>
      <c r="HN193" s="262"/>
      <c r="HO193" s="262"/>
      <c r="HP193" s="262"/>
      <c r="HQ193" s="262"/>
      <c r="HR193" s="262"/>
      <c r="HS193" s="262"/>
      <c r="HT193" s="262"/>
      <c r="HU193" s="262"/>
      <c r="HV193" s="262"/>
      <c r="HW193" s="262"/>
      <c r="HX193" s="262"/>
      <c r="HY193" s="262"/>
      <c r="HZ193" s="262"/>
      <c r="IA193" s="262"/>
      <c r="IB193" s="262"/>
      <c r="IC193" s="262"/>
      <c r="ID193" s="262"/>
      <c r="IE193" s="262"/>
      <c r="IF193" s="262"/>
      <c r="IG193" s="262"/>
      <c r="IH193" s="262"/>
      <c r="II193" s="262"/>
      <c r="IJ193" s="262"/>
      <c r="IK193" s="262"/>
      <c r="IL193" s="262"/>
      <c r="IM193" s="262"/>
      <c r="IN193" s="262"/>
      <c r="IO193" s="262"/>
      <c r="IP193" s="262"/>
      <c r="IQ193" s="262"/>
      <c r="IR193" s="262"/>
      <c r="IS193" s="262"/>
      <c r="IT193" s="262"/>
      <c r="IU193" s="262"/>
      <c r="IV193" s="262"/>
      <c r="IW193" s="262"/>
      <c r="IX193" s="262"/>
      <c r="IY193" s="262"/>
      <c r="IZ193" s="262"/>
      <c r="JA193" s="262"/>
      <c r="JB193" s="262"/>
      <c r="JC193" s="262"/>
      <c r="JD193" s="262"/>
      <c r="JE193" s="262"/>
      <c r="JF193" s="262"/>
      <c r="JG193" s="262"/>
      <c r="JH193" s="262"/>
      <c r="JI193" s="262"/>
      <c r="JJ193" s="262"/>
      <c r="JK193" s="262"/>
      <c r="JL193" s="262"/>
      <c r="JM193" s="262"/>
      <c r="JN193" s="262"/>
      <c r="JO193" s="262"/>
      <c r="JP193" s="262"/>
      <c r="JQ193" s="262"/>
      <c r="JR193" s="262"/>
      <c r="JS193" s="262"/>
      <c r="JT193" s="262"/>
      <c r="JU193" s="262"/>
      <c r="JV193" s="262"/>
      <c r="JW193" s="262"/>
      <c r="JX193" s="262"/>
      <c r="JY193" s="262"/>
      <c r="JZ193" s="262"/>
      <c r="KA193" s="262"/>
      <c r="KB193" s="262"/>
      <c r="KC193" s="262"/>
      <c r="KD193" s="262"/>
      <c r="KE193" s="262"/>
      <c r="KF193" s="262"/>
      <c r="KG193" s="262"/>
      <c r="KH193" s="262"/>
      <c r="KI193" s="262"/>
      <c r="KJ193" s="262"/>
      <c r="KK193" s="262"/>
      <c r="KL193" s="262"/>
      <c r="KM193" s="262"/>
      <c r="KN193" s="262"/>
      <c r="KO193" s="262"/>
      <c r="KP193" s="262"/>
      <c r="KQ193" s="262"/>
      <c r="KR193" s="262"/>
      <c r="KS193" s="262"/>
      <c r="KT193" s="262"/>
      <c r="KU193" s="262"/>
      <c r="KV193" s="262"/>
      <c r="KW193" s="262"/>
      <c r="KX193" s="262"/>
      <c r="KY193" s="262"/>
      <c r="KZ193" s="262"/>
      <c r="LA193" s="262"/>
      <c r="LB193" s="262"/>
      <c r="LC193" s="262"/>
      <c r="LD193" s="262"/>
      <c r="LE193" s="262"/>
      <c r="LF193" s="262"/>
      <c r="LG193" s="262"/>
      <c r="LH193" s="262"/>
      <c r="LI193" s="262"/>
      <c r="LJ193" s="262"/>
      <c r="LK193" s="262"/>
      <c r="LL193" s="262"/>
      <c r="LM193" s="262"/>
      <c r="LN193" s="262"/>
      <c r="LO193" s="262"/>
      <c r="LP193" s="262"/>
      <c r="LQ193" s="262"/>
      <c r="LR193" s="262"/>
      <c r="LS193" s="262"/>
      <c r="LT193" s="262"/>
      <c r="LU193" s="262"/>
      <c r="LV193" s="262"/>
      <c r="LW193" s="262"/>
      <c r="LX193" s="262"/>
      <c r="LY193" s="262"/>
      <c r="LZ193" s="262"/>
      <c r="MA193" s="262"/>
      <c r="MB193" s="262"/>
      <c r="MC193" s="262"/>
      <c r="MD193" s="262"/>
      <c r="ME193" s="262"/>
      <c r="MF193" s="262"/>
      <c r="MG193" s="262"/>
      <c r="MH193" s="262"/>
      <c r="MI193" s="262"/>
      <c r="MJ193" s="262"/>
      <c r="MK193" s="262"/>
      <c r="ML193" s="262"/>
      <c r="MM193" s="262"/>
      <c r="MN193" s="262"/>
      <c r="MO193" s="262"/>
      <c r="MP193" s="262"/>
      <c r="MQ193" s="262"/>
      <c r="MR193" s="262"/>
      <c r="MS193" s="262"/>
      <c r="MT193" s="262"/>
      <c r="MU193" s="262"/>
      <c r="MV193" s="262"/>
      <c r="MW193" s="262"/>
      <c r="MX193" s="262"/>
      <c r="MY193" s="262"/>
      <c r="MZ193" s="262"/>
      <c r="NA193" s="262"/>
      <c r="NB193" s="262"/>
      <c r="NC193" s="262"/>
      <c r="ND193" s="262"/>
      <c r="NE193" s="262"/>
      <c r="NF193" s="262"/>
      <c r="NG193" s="262"/>
      <c r="NH193" s="262"/>
      <c r="NI193" s="262"/>
      <c r="NJ193" s="262"/>
      <c r="NK193" s="262"/>
      <c r="NL193" s="262"/>
      <c r="NM193" s="262"/>
      <c r="NN193" s="262"/>
      <c r="NO193" s="262"/>
      <c r="NP193" s="262"/>
      <c r="NQ193" s="262"/>
      <c r="NR193" s="262"/>
      <c r="NS193" s="262"/>
      <c r="NT193" s="262"/>
      <c r="NU193" s="262"/>
      <c r="NV193" s="262"/>
      <c r="NW193" s="262"/>
      <c r="NX193" s="262"/>
      <c r="NY193" s="262"/>
      <c r="NZ193" s="262"/>
      <c r="OA193" s="262"/>
      <c r="OB193" s="262"/>
      <c r="OC193" s="262"/>
      <c r="OD193" s="262"/>
      <c r="OE193" s="262"/>
    </row>
    <row r="194" spans="1:395" s="28" customFormat="1" x14ac:dyDescent="0.25">
      <c r="A194" s="135"/>
      <c r="B194" s="64" t="s">
        <v>1007</v>
      </c>
      <c r="C194" s="216">
        <v>7898670767216</v>
      </c>
      <c r="D194" s="417" t="s">
        <v>1012</v>
      </c>
      <c r="E194" s="175">
        <v>0</v>
      </c>
      <c r="F194" s="204">
        <f>IF($D$8="A VISTA",Planilha2!B181,Planilha2!B181)</f>
        <v>129</v>
      </c>
      <c r="G194" s="205">
        <v>0</v>
      </c>
      <c r="H194" s="204">
        <f>IFERROR(F194*(1+G194),#REF!)</f>
        <v>129</v>
      </c>
      <c r="I194" s="204">
        <f t="shared" ref="I194" si="214">F194*E194</f>
        <v>0</v>
      </c>
      <c r="J194" s="206">
        <f t="shared" ref="J194" si="215">SUM(E194*H194)</f>
        <v>0</v>
      </c>
      <c r="K194" s="176">
        <f>Planilha2!C181</f>
        <v>122.55</v>
      </c>
      <c r="L194" s="171">
        <f>K194*G194+K194</f>
        <v>122.55</v>
      </c>
      <c r="M194" s="176">
        <f>K194*E194</f>
        <v>0</v>
      </c>
      <c r="N194" s="176">
        <f>L194*E194</f>
        <v>0</v>
      </c>
      <c r="O194" s="221"/>
      <c r="P194" s="221"/>
      <c r="Q194" s="221"/>
      <c r="R194" s="176">
        <f>F194</f>
        <v>129</v>
      </c>
      <c r="S194" s="176">
        <f>R194+R194*G194</f>
        <v>129</v>
      </c>
      <c r="T194" s="176">
        <f>E194*S194</f>
        <v>0</v>
      </c>
      <c r="U194" s="176">
        <f>R194*5%</f>
        <v>6.45</v>
      </c>
      <c r="V194" s="176">
        <f>R194-U194</f>
        <v>122.55</v>
      </c>
      <c r="W194" s="176">
        <f t="shared" ref="W194" si="216">S194*5%</f>
        <v>6.45</v>
      </c>
      <c r="X194" s="176">
        <f t="shared" ref="X194" si="217">S194-W194</f>
        <v>122.55</v>
      </c>
      <c r="Y194" s="176">
        <f>X194*E194</f>
        <v>0</v>
      </c>
      <c r="Z194" s="176">
        <f>S194*E194</f>
        <v>0</v>
      </c>
      <c r="AA194" s="176">
        <f t="shared" ref="AA194" si="218">Z194*5%</f>
        <v>0</v>
      </c>
      <c r="AB194" s="176">
        <f>S194*E194</f>
        <v>0</v>
      </c>
      <c r="AC194" s="176">
        <f>X194*E194</f>
        <v>0</v>
      </c>
      <c r="AD194" s="331"/>
      <c r="AE194" s="133"/>
      <c r="AF194" s="133"/>
      <c r="AG194" s="133"/>
      <c r="AH194" s="133"/>
    </row>
    <row r="195" spans="1:395" s="263" customFormat="1" x14ac:dyDescent="0.25">
      <c r="A195" s="260"/>
      <c r="B195" s="312"/>
      <c r="C195" s="313"/>
      <c r="D195" s="314"/>
      <c r="E195" s="315"/>
      <c r="F195" s="316">
        <f>SUM(F193:F194)</f>
        <v>129</v>
      </c>
      <c r="G195" s="316">
        <f t="shared" ref="G195:I195" si="219">SUM(G193:G194)</f>
        <v>0</v>
      </c>
      <c r="H195" s="316">
        <f t="shared" si="219"/>
        <v>129</v>
      </c>
      <c r="I195" s="316">
        <f t="shared" si="219"/>
        <v>0</v>
      </c>
      <c r="J195" s="316">
        <f>SUM(J194,J187:J192,J185,J182:J183,J177:J180,J171:J175,J166:J169,J161:J164,J157:J159,J153:J155,J151,J148:J149,J143:J146,J138:J141,J135:J136,J131:J133,J127:J129,J116:J125,J110:J114,J101:J108,J93:J99,J87:J92,J81:J85,J78:J79,J70:J76,J62:J67,J59:J61,J55:J57,J51:J53,J42:J49,J32:J40,J29:J30,J18:J27,J17)</f>
        <v>0</v>
      </c>
      <c r="K195" s="217"/>
      <c r="L195" s="217"/>
      <c r="M195" s="217"/>
      <c r="N195" s="217"/>
      <c r="O195" s="218"/>
      <c r="P195" s="217"/>
      <c r="Q195" s="217"/>
      <c r="R195" s="317" t="e">
        <f t="shared" ref="R195:AC195" si="220">SUM(R16:R194)</f>
        <v>#REF!</v>
      </c>
      <c r="S195" s="317" t="e">
        <f t="shared" si="220"/>
        <v>#REF!</v>
      </c>
      <c r="T195" s="317" t="e">
        <f t="shared" si="220"/>
        <v>#REF!</v>
      </c>
      <c r="U195" s="317" t="e">
        <f t="shared" si="220"/>
        <v>#REF!</v>
      </c>
      <c r="V195" s="317" t="e">
        <f t="shared" si="220"/>
        <v>#REF!</v>
      </c>
      <c r="W195" s="317" t="e">
        <f t="shared" si="220"/>
        <v>#REF!</v>
      </c>
      <c r="X195" s="317" t="e">
        <f t="shared" si="220"/>
        <v>#REF!</v>
      </c>
      <c r="Y195" s="317" t="e">
        <f t="shared" si="220"/>
        <v>#REF!</v>
      </c>
      <c r="Z195" s="317" t="e">
        <f t="shared" si="220"/>
        <v>#REF!</v>
      </c>
      <c r="AA195" s="317">
        <f t="shared" si="220"/>
        <v>0</v>
      </c>
      <c r="AB195" s="317" t="e">
        <f t="shared" si="220"/>
        <v>#REF!</v>
      </c>
      <c r="AC195" s="317" t="e">
        <f t="shared" si="220"/>
        <v>#REF!</v>
      </c>
      <c r="AD195" s="318"/>
      <c r="AE195" s="261"/>
      <c r="AF195" s="261"/>
      <c r="AG195" s="261"/>
      <c r="AH195" s="261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  <c r="CF195" s="262"/>
      <c r="CG195" s="262"/>
      <c r="CH195" s="262"/>
      <c r="CI195" s="262"/>
      <c r="CJ195" s="262"/>
      <c r="CK195" s="262"/>
      <c r="CL195" s="262"/>
      <c r="CM195" s="262"/>
      <c r="CN195" s="262"/>
      <c r="CO195" s="262"/>
      <c r="CP195" s="262"/>
      <c r="CQ195" s="262"/>
      <c r="CR195" s="262"/>
      <c r="CS195" s="262"/>
      <c r="CT195" s="262"/>
      <c r="CU195" s="262"/>
      <c r="CV195" s="262"/>
      <c r="CW195" s="262"/>
      <c r="CX195" s="262"/>
      <c r="CY195" s="262"/>
      <c r="CZ195" s="262"/>
      <c r="DA195" s="262"/>
      <c r="DB195" s="262"/>
      <c r="DC195" s="262"/>
      <c r="DD195" s="262"/>
      <c r="DE195" s="262"/>
      <c r="DF195" s="262"/>
      <c r="DG195" s="262"/>
      <c r="DH195" s="262"/>
      <c r="DI195" s="262"/>
      <c r="DJ195" s="262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262"/>
      <c r="DX195" s="262"/>
      <c r="DY195" s="262"/>
      <c r="DZ195" s="262"/>
      <c r="EA195" s="262"/>
      <c r="EB195" s="262"/>
      <c r="EC195" s="262"/>
      <c r="ED195" s="262"/>
      <c r="EE195" s="262"/>
      <c r="EF195" s="262"/>
      <c r="EG195" s="262"/>
      <c r="EH195" s="262"/>
      <c r="EI195" s="262"/>
      <c r="EJ195" s="262"/>
      <c r="EK195" s="262"/>
      <c r="EL195" s="262"/>
      <c r="EM195" s="262"/>
      <c r="EN195" s="262"/>
      <c r="EO195" s="262"/>
      <c r="EP195" s="262"/>
      <c r="EQ195" s="262"/>
      <c r="ER195" s="262"/>
      <c r="ES195" s="262"/>
      <c r="ET195" s="262"/>
      <c r="EU195" s="262"/>
      <c r="EV195" s="262"/>
      <c r="EW195" s="262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262"/>
      <c r="FH195" s="262"/>
      <c r="FI195" s="262"/>
      <c r="FJ195" s="262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262"/>
      <c r="FU195" s="262"/>
      <c r="FV195" s="262"/>
      <c r="FW195" s="262"/>
      <c r="FX195" s="262"/>
      <c r="FY195" s="262"/>
      <c r="FZ195" s="262"/>
      <c r="GA195" s="262"/>
      <c r="GB195" s="262"/>
      <c r="GC195" s="262"/>
      <c r="GD195" s="262"/>
      <c r="GE195" s="262"/>
      <c r="GF195" s="262"/>
      <c r="GG195" s="262"/>
      <c r="GH195" s="262"/>
      <c r="GI195" s="262"/>
      <c r="GJ195" s="262"/>
      <c r="GK195" s="262"/>
      <c r="GL195" s="262"/>
      <c r="GM195" s="262"/>
      <c r="GN195" s="262"/>
      <c r="GO195" s="262"/>
      <c r="GP195" s="262"/>
      <c r="GQ195" s="262"/>
      <c r="GR195" s="262"/>
      <c r="GS195" s="262"/>
      <c r="GT195" s="262"/>
      <c r="GU195" s="262"/>
      <c r="GV195" s="262"/>
      <c r="GW195" s="262"/>
      <c r="GX195" s="262"/>
      <c r="GY195" s="262"/>
      <c r="GZ195" s="262"/>
      <c r="HA195" s="262"/>
      <c r="HB195" s="262"/>
      <c r="HC195" s="262"/>
      <c r="HD195" s="262"/>
      <c r="HE195" s="262"/>
      <c r="HF195" s="262"/>
      <c r="HG195" s="262"/>
      <c r="HH195" s="262"/>
      <c r="HI195" s="262"/>
      <c r="HJ195" s="262"/>
      <c r="HK195" s="262"/>
      <c r="HL195" s="262"/>
      <c r="HM195" s="262"/>
      <c r="HN195" s="262"/>
      <c r="HO195" s="262"/>
      <c r="HP195" s="262"/>
      <c r="HQ195" s="262"/>
      <c r="HR195" s="262"/>
      <c r="HS195" s="262"/>
      <c r="HT195" s="262"/>
      <c r="HU195" s="262"/>
      <c r="HV195" s="262"/>
      <c r="HW195" s="262"/>
      <c r="HX195" s="262"/>
      <c r="HY195" s="262"/>
      <c r="HZ195" s="262"/>
      <c r="IA195" s="262"/>
      <c r="IB195" s="262"/>
      <c r="IC195" s="262"/>
      <c r="ID195" s="262"/>
      <c r="IE195" s="262"/>
      <c r="IF195" s="262"/>
      <c r="IG195" s="262"/>
      <c r="IH195" s="262"/>
      <c r="II195" s="262"/>
      <c r="IJ195" s="262"/>
      <c r="IK195" s="262"/>
      <c r="IL195" s="262"/>
      <c r="IM195" s="262"/>
      <c r="IN195" s="262"/>
      <c r="IO195" s="262"/>
      <c r="IP195" s="262"/>
      <c r="IQ195" s="262"/>
      <c r="IR195" s="262"/>
      <c r="IS195" s="262"/>
      <c r="IT195" s="262"/>
      <c r="IU195" s="262"/>
      <c r="IV195" s="262"/>
      <c r="IW195" s="262"/>
      <c r="IX195" s="262"/>
      <c r="IY195" s="262"/>
      <c r="IZ195" s="262"/>
      <c r="JA195" s="262"/>
      <c r="JB195" s="262"/>
      <c r="JC195" s="262"/>
      <c r="JD195" s="262"/>
      <c r="JE195" s="262"/>
      <c r="JF195" s="262"/>
      <c r="JG195" s="262"/>
      <c r="JH195" s="262"/>
      <c r="JI195" s="262"/>
      <c r="JJ195" s="262"/>
      <c r="JK195" s="262"/>
      <c r="JL195" s="262"/>
      <c r="JM195" s="262"/>
      <c r="JN195" s="262"/>
      <c r="JO195" s="262"/>
      <c r="JP195" s="262"/>
      <c r="JQ195" s="262"/>
      <c r="JR195" s="262"/>
      <c r="JS195" s="262"/>
      <c r="JT195" s="262"/>
      <c r="JU195" s="262"/>
      <c r="JV195" s="262"/>
      <c r="JW195" s="262"/>
      <c r="JX195" s="262"/>
      <c r="JY195" s="262"/>
      <c r="JZ195" s="262"/>
      <c r="KA195" s="262"/>
      <c r="KB195" s="262"/>
      <c r="KC195" s="262"/>
      <c r="KD195" s="262"/>
      <c r="KE195" s="262"/>
      <c r="KF195" s="262"/>
      <c r="KG195" s="262"/>
      <c r="KH195" s="262"/>
      <c r="KI195" s="262"/>
      <c r="KJ195" s="262"/>
      <c r="KK195" s="262"/>
      <c r="KL195" s="262"/>
      <c r="KM195" s="262"/>
      <c r="KN195" s="262"/>
      <c r="KO195" s="262"/>
      <c r="KP195" s="262"/>
      <c r="KQ195" s="262"/>
      <c r="KR195" s="262"/>
      <c r="KS195" s="262"/>
      <c r="KT195" s="262"/>
      <c r="KU195" s="262"/>
      <c r="KV195" s="262"/>
      <c r="KW195" s="262"/>
      <c r="KX195" s="262"/>
      <c r="KY195" s="262"/>
      <c r="KZ195" s="262"/>
      <c r="LA195" s="262"/>
      <c r="LB195" s="262"/>
      <c r="LC195" s="262"/>
      <c r="LD195" s="262"/>
      <c r="LE195" s="262"/>
      <c r="LF195" s="262"/>
      <c r="LG195" s="262"/>
      <c r="LH195" s="262"/>
      <c r="LI195" s="262"/>
      <c r="LJ195" s="262"/>
      <c r="LK195" s="262"/>
      <c r="LL195" s="262"/>
      <c r="LM195" s="262"/>
      <c r="LN195" s="262"/>
      <c r="LO195" s="262"/>
      <c r="LP195" s="262"/>
      <c r="LQ195" s="262"/>
      <c r="LR195" s="262"/>
      <c r="LS195" s="262"/>
      <c r="LT195" s="262"/>
      <c r="LU195" s="262"/>
      <c r="LV195" s="262"/>
      <c r="LW195" s="262"/>
      <c r="LX195" s="262"/>
      <c r="LY195" s="262"/>
      <c r="LZ195" s="262"/>
      <c r="MA195" s="262"/>
      <c r="MB195" s="262"/>
      <c r="MC195" s="262"/>
      <c r="MD195" s="262"/>
      <c r="ME195" s="262"/>
      <c r="MF195" s="262"/>
      <c r="MG195" s="262"/>
      <c r="MH195" s="262"/>
      <c r="MI195" s="262"/>
      <c r="MJ195" s="262"/>
      <c r="MK195" s="262"/>
      <c r="ML195" s="262"/>
      <c r="MM195" s="262"/>
      <c r="MN195" s="262"/>
      <c r="MO195" s="262"/>
      <c r="MP195" s="262"/>
      <c r="MQ195" s="262"/>
      <c r="MR195" s="262"/>
      <c r="MS195" s="262"/>
      <c r="MT195" s="262"/>
      <c r="MU195" s="262"/>
      <c r="MV195" s="262"/>
      <c r="MW195" s="262"/>
      <c r="MX195" s="262"/>
      <c r="MY195" s="262"/>
      <c r="MZ195" s="262"/>
      <c r="NA195" s="262"/>
      <c r="NB195" s="262"/>
      <c r="NC195" s="262"/>
      <c r="ND195" s="262"/>
      <c r="NE195" s="262"/>
      <c r="NF195" s="262"/>
      <c r="NG195" s="262"/>
      <c r="NH195" s="262"/>
      <c r="NI195" s="262"/>
      <c r="NJ195" s="262"/>
      <c r="NK195" s="262"/>
      <c r="NL195" s="262"/>
      <c r="NM195" s="262"/>
      <c r="NN195" s="262"/>
      <c r="NO195" s="262"/>
      <c r="NP195" s="262"/>
      <c r="NQ195" s="262"/>
      <c r="NR195" s="262"/>
      <c r="NS195" s="262"/>
      <c r="NT195" s="262"/>
      <c r="NU195" s="262"/>
      <c r="NV195" s="262"/>
      <c r="NW195" s="262"/>
      <c r="NX195" s="262"/>
      <c r="NY195" s="262"/>
      <c r="NZ195" s="262"/>
      <c r="OA195" s="262"/>
      <c r="OB195" s="262"/>
      <c r="OC195" s="262"/>
      <c r="OD195" s="262"/>
      <c r="OE195" s="262"/>
    </row>
    <row r="196" spans="1:395" ht="15" customHeight="1" thickBot="1" x14ac:dyDescent="0.3">
      <c r="A196" s="135"/>
      <c r="B196" s="139"/>
      <c r="C196" s="139"/>
      <c r="D196" s="139"/>
      <c r="E196" s="139"/>
      <c r="F196" s="139"/>
      <c r="G196" s="139"/>
      <c r="H196" s="219"/>
      <c r="I196" s="219"/>
      <c r="J196" s="219"/>
      <c r="K196" s="220"/>
      <c r="L196" s="220"/>
      <c r="M196" s="220"/>
      <c r="N196" s="220"/>
      <c r="O196" s="221"/>
      <c r="P196" s="220"/>
      <c r="Q196" s="220"/>
      <c r="R196" s="220"/>
      <c r="S196" s="220"/>
      <c r="T196" s="220"/>
      <c r="U196" s="220"/>
      <c r="V196" s="217"/>
      <c r="W196" s="217"/>
      <c r="X196" s="217"/>
      <c r="Y196" s="217"/>
      <c r="Z196" s="217"/>
      <c r="AA196" s="217"/>
      <c r="AB196" s="268" t="s">
        <v>994</v>
      </c>
      <c r="AC196" s="268" t="s">
        <v>995</v>
      </c>
      <c r="AD196" s="220"/>
      <c r="AE196" s="133"/>
      <c r="AF196" s="133"/>
      <c r="AG196" s="133"/>
      <c r="AH196" s="133"/>
    </row>
    <row r="197" spans="1:395" ht="21" hidden="1" customHeight="1" thickBot="1" x14ac:dyDescent="0.3">
      <c r="A197" s="135"/>
      <c r="B197" s="452"/>
      <c r="C197" s="453"/>
      <c r="D197" s="222" t="s">
        <v>875</v>
      </c>
      <c r="E197" s="472" t="e">
        <f>AB195</f>
        <v>#REF!</v>
      </c>
      <c r="F197" s="473"/>
      <c r="G197" s="223"/>
      <c r="H197" s="224"/>
      <c r="I197" s="224"/>
      <c r="J197" s="219"/>
      <c r="K197" s="220"/>
      <c r="L197" s="220"/>
      <c r="M197" s="220"/>
      <c r="N197" s="220"/>
      <c r="O197" s="221"/>
      <c r="P197" s="220"/>
      <c r="Q197" s="220"/>
      <c r="R197" s="220"/>
      <c r="S197" s="220"/>
      <c r="T197" s="220"/>
      <c r="U197" s="220"/>
      <c r="V197" s="217"/>
      <c r="W197" s="217"/>
      <c r="X197" s="217"/>
      <c r="Y197" s="217"/>
      <c r="Z197" s="217"/>
      <c r="AA197" s="217"/>
      <c r="AB197" s="217"/>
      <c r="AC197" s="217"/>
      <c r="AD197" s="220"/>
      <c r="AE197" s="133"/>
      <c r="AF197" s="133"/>
      <c r="AG197" s="133"/>
      <c r="AH197" s="133"/>
    </row>
    <row r="198" spans="1:395" ht="21" hidden="1" customHeight="1" thickBot="1" x14ac:dyDescent="0.3">
      <c r="A198" s="135"/>
      <c r="B198" s="452"/>
      <c r="C198" s="453"/>
      <c r="D198" s="222"/>
      <c r="E198" s="472" t="e">
        <f>E197*5%</f>
        <v>#REF!</v>
      </c>
      <c r="F198" s="473"/>
      <c r="G198" s="225"/>
      <c r="H198" s="226"/>
      <c r="I198" s="227"/>
      <c r="J198" s="220"/>
      <c r="K198" s="220"/>
      <c r="L198" s="220"/>
      <c r="M198" s="220"/>
      <c r="N198" s="220"/>
      <c r="O198" s="221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133"/>
      <c r="AF198" s="133"/>
      <c r="AG198" s="133"/>
      <c r="AH198" s="133"/>
    </row>
    <row r="199" spans="1:395" ht="21" hidden="1" customHeight="1" thickBot="1" x14ac:dyDescent="0.3">
      <c r="A199" s="135"/>
      <c r="B199" s="452"/>
      <c r="C199" s="453"/>
      <c r="D199" s="222" t="s">
        <v>876</v>
      </c>
      <c r="E199" s="472" t="e">
        <f>AC195</f>
        <v>#REF!</v>
      </c>
      <c r="F199" s="473"/>
      <c r="G199" s="228"/>
      <c r="H199" s="229"/>
      <c r="I199" s="230"/>
      <c r="J199" s="220"/>
      <c r="K199" s="220"/>
      <c r="L199" s="220"/>
      <c r="M199" s="220"/>
      <c r="N199" s="220"/>
      <c r="O199" s="221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133"/>
      <c r="AF199" s="133"/>
      <c r="AG199" s="133"/>
      <c r="AH199" s="133"/>
    </row>
    <row r="200" spans="1:395" ht="21" hidden="1" customHeight="1" thickBot="1" x14ac:dyDescent="0.3">
      <c r="A200" s="135"/>
      <c r="B200" s="452"/>
      <c r="C200" s="453"/>
      <c r="D200" s="222" t="s">
        <v>852</v>
      </c>
      <c r="E200" s="474" t="str">
        <f>Z193</f>
        <v>TOTAL PROMO S/ DESC</v>
      </c>
      <c r="F200" s="475"/>
      <c r="G200" s="146"/>
      <c r="H200" s="139"/>
      <c r="I200" s="220"/>
      <c r="J200" s="220"/>
      <c r="K200" s="220"/>
      <c r="L200" s="220"/>
      <c r="M200" s="220"/>
      <c r="N200" s="220"/>
      <c r="O200" s="221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133"/>
      <c r="AF200" s="133"/>
      <c r="AG200" s="133"/>
      <c r="AH200" s="133"/>
    </row>
    <row r="201" spans="1:395" ht="21" customHeight="1" thickBot="1" x14ac:dyDescent="0.3">
      <c r="A201" s="135"/>
      <c r="B201" s="452"/>
      <c r="C201" s="453"/>
      <c r="D201" s="231" t="s">
        <v>868</v>
      </c>
      <c r="E201" s="464">
        <f>J195</f>
        <v>0</v>
      </c>
      <c r="F201" s="465"/>
      <c r="G201" s="200"/>
      <c r="H201" s="139"/>
      <c r="I201" s="220"/>
      <c r="J201" s="220"/>
      <c r="K201" s="220"/>
      <c r="L201" s="220"/>
      <c r="M201" s="220"/>
      <c r="N201" s="220"/>
      <c r="O201" s="221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133"/>
      <c r="AF201" s="133"/>
      <c r="AG201" s="133"/>
      <c r="AH201" s="133"/>
    </row>
    <row r="202" spans="1:395" ht="21" hidden="1" customHeight="1" thickBot="1" x14ac:dyDescent="0.3">
      <c r="A202" s="135"/>
      <c r="B202" s="452"/>
      <c r="C202" s="453"/>
      <c r="D202" s="231" t="s">
        <v>869</v>
      </c>
      <c r="E202" s="464">
        <f>E201*5%</f>
        <v>0</v>
      </c>
      <c r="F202" s="465"/>
      <c r="G202" s="200">
        <v>11998.5</v>
      </c>
      <c r="H202" s="232">
        <f>G202-E202</f>
        <v>11998.5</v>
      </c>
      <c r="I202" s="139"/>
      <c r="J202" s="139"/>
      <c r="K202" s="139"/>
      <c r="L202" s="139"/>
      <c r="M202" s="139"/>
      <c r="N202" s="139"/>
      <c r="O202" s="140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3"/>
      <c r="AF202" s="133"/>
      <c r="AG202" s="133"/>
      <c r="AH202" s="133"/>
    </row>
    <row r="203" spans="1:395" ht="21" customHeight="1" thickBot="1" x14ac:dyDescent="0.3">
      <c r="A203" s="135"/>
      <c r="B203" s="452"/>
      <c r="C203" s="453"/>
      <c r="D203" s="231" t="s">
        <v>869</v>
      </c>
      <c r="E203" s="464">
        <f>E201-E202</f>
        <v>0</v>
      </c>
      <c r="F203" s="465"/>
      <c r="G203" s="200"/>
      <c r="H203" s="232"/>
      <c r="I203" s="139"/>
      <c r="J203" s="139"/>
      <c r="K203" s="139"/>
      <c r="L203" s="139"/>
      <c r="M203" s="139"/>
      <c r="N203" s="139"/>
      <c r="O203" s="140"/>
      <c r="P203" s="139"/>
      <c r="Q203" s="139"/>
      <c r="R203" s="139"/>
      <c r="S203" s="139"/>
      <c r="T203" s="139"/>
      <c r="U203" s="139"/>
      <c r="V203" s="139" t="s">
        <v>1056</v>
      </c>
      <c r="W203" s="139"/>
      <c r="X203" s="139"/>
      <c r="Y203" s="139"/>
      <c r="Z203" s="139"/>
      <c r="AA203" s="139"/>
      <c r="AB203" s="139"/>
      <c r="AC203" s="139"/>
      <c r="AD203" s="139"/>
      <c r="AE203" s="133"/>
      <c r="AF203" s="133"/>
      <c r="AG203" s="133"/>
      <c r="AH203" s="133"/>
    </row>
    <row r="204" spans="1:395" ht="21" customHeight="1" thickBot="1" x14ac:dyDescent="0.3">
      <c r="A204" s="135"/>
      <c r="B204" s="452"/>
      <c r="C204" s="453"/>
      <c r="D204" s="233" t="s">
        <v>175</v>
      </c>
      <c r="E204" s="476" t="s">
        <v>176</v>
      </c>
      <c r="F204" s="477"/>
      <c r="G204" s="146"/>
      <c r="H204" s="139"/>
      <c r="I204" s="139"/>
      <c r="J204" s="139"/>
      <c r="K204" s="139"/>
      <c r="L204" s="139"/>
      <c r="M204" s="139"/>
      <c r="N204" s="139"/>
      <c r="O204" s="140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3"/>
      <c r="AF204" s="133"/>
      <c r="AG204" s="133"/>
      <c r="AH204" s="133"/>
    </row>
    <row r="205" spans="1:395" ht="21" customHeight="1" thickBot="1" x14ac:dyDescent="0.3">
      <c r="A205" s="135"/>
      <c r="B205" s="454"/>
      <c r="C205" s="461"/>
      <c r="D205" s="234" t="s">
        <v>177</v>
      </c>
      <c r="E205" s="478">
        <f>SUM(E15:E192)</f>
        <v>0</v>
      </c>
      <c r="F205" s="479"/>
      <c r="G205" s="146"/>
      <c r="H205" s="139"/>
      <c r="I205" s="139"/>
      <c r="J205" s="139"/>
      <c r="K205" s="139"/>
      <c r="L205" s="139"/>
      <c r="M205" s="139"/>
      <c r="N205" s="139"/>
      <c r="O205" s="140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3"/>
      <c r="AF205" s="133"/>
      <c r="AG205" s="133"/>
      <c r="AH205" s="133"/>
    </row>
    <row r="206" spans="1:395" ht="15.75" hidden="1" customHeight="1" thickBot="1" x14ac:dyDescent="0.3">
      <c r="A206" s="135"/>
      <c r="B206" s="462" t="s">
        <v>178</v>
      </c>
      <c r="C206" s="463"/>
      <c r="D206" s="470" t="s">
        <v>179</v>
      </c>
      <c r="E206" s="471"/>
      <c r="F206" s="139"/>
      <c r="G206" s="146"/>
      <c r="H206" s="139"/>
      <c r="I206" s="139"/>
      <c r="J206" s="139"/>
      <c r="K206" s="139"/>
      <c r="L206" s="139"/>
      <c r="M206" s="139"/>
      <c r="N206" s="139"/>
      <c r="O206" s="140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3"/>
      <c r="AF206" s="133"/>
      <c r="AG206" s="133"/>
      <c r="AH206" s="133"/>
    </row>
    <row r="207" spans="1:395" ht="15" customHeight="1" thickBot="1" x14ac:dyDescent="0.3">
      <c r="A207" s="135"/>
      <c r="B207" s="139"/>
      <c r="C207" s="139"/>
      <c r="D207" s="139"/>
      <c r="E207" s="150"/>
      <c r="F207" s="139"/>
      <c r="G207" s="146"/>
      <c r="H207" s="139"/>
      <c r="I207" s="139"/>
      <c r="J207" s="139"/>
      <c r="K207" s="139"/>
      <c r="L207" s="139"/>
      <c r="M207" s="139"/>
      <c r="N207" s="139"/>
      <c r="O207" s="140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3"/>
      <c r="AF207" s="133"/>
      <c r="AG207" s="133"/>
      <c r="AH207" s="133"/>
    </row>
    <row r="208" spans="1:395" ht="22.15" customHeight="1" thickBot="1" x14ac:dyDescent="0.3">
      <c r="A208" s="135"/>
      <c r="B208" s="458" t="s">
        <v>180</v>
      </c>
      <c r="C208" s="459"/>
      <c r="D208" s="235" t="s">
        <v>181</v>
      </c>
      <c r="E208" s="466" t="s">
        <v>887</v>
      </c>
      <c r="F208" s="467"/>
      <c r="G208" s="236"/>
      <c r="H208" s="139"/>
      <c r="I208" s="139"/>
      <c r="J208" s="139"/>
      <c r="K208" s="139"/>
      <c r="L208" s="139"/>
      <c r="M208" s="139"/>
      <c r="N208" s="139"/>
      <c r="O208" s="140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3"/>
      <c r="AF208" s="133"/>
      <c r="AG208" s="133"/>
      <c r="AH208" s="133"/>
    </row>
    <row r="209" spans="1:34" ht="22.15" customHeight="1" thickBot="1" x14ac:dyDescent="0.3">
      <c r="A209" s="135"/>
      <c r="B209" s="452"/>
      <c r="C209" s="460"/>
      <c r="D209" s="235" t="s">
        <v>571</v>
      </c>
      <c r="E209" s="468" t="s">
        <v>286</v>
      </c>
      <c r="F209" s="469"/>
      <c r="G209" s="237"/>
      <c r="H209" s="238"/>
      <c r="I209" s="238"/>
      <c r="J209" s="238"/>
      <c r="K209" s="139"/>
      <c r="L209" s="139"/>
      <c r="M209" s="139"/>
      <c r="N209" s="139"/>
      <c r="O209" s="140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3"/>
      <c r="AF209" s="133"/>
      <c r="AG209" s="133"/>
      <c r="AH209" s="133"/>
    </row>
    <row r="210" spans="1:34" ht="22.15" hidden="1" customHeight="1" thickBot="1" x14ac:dyDescent="0.3">
      <c r="A210" s="135"/>
      <c r="B210" s="454"/>
      <c r="C210" s="455"/>
      <c r="D210" s="235"/>
      <c r="E210" s="139"/>
      <c r="F210" s="238"/>
      <c r="G210" s="237"/>
      <c r="H210" s="238"/>
      <c r="I210" s="238"/>
      <c r="J210" s="238"/>
      <c r="K210" s="139"/>
      <c r="L210" s="139"/>
      <c r="M210" s="139"/>
      <c r="N210" s="139"/>
      <c r="O210" s="140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3"/>
      <c r="AF210" s="133"/>
      <c r="AG210" s="133"/>
      <c r="AH210" s="133"/>
    </row>
    <row r="211" spans="1:34" ht="22.15" customHeight="1" thickBot="1" x14ac:dyDescent="0.3">
      <c r="A211" s="135"/>
      <c r="B211" s="139"/>
      <c r="C211" s="139"/>
      <c r="D211" s="239" t="s">
        <v>570</v>
      </c>
      <c r="E211" s="139"/>
      <c r="F211" s="139"/>
      <c r="G211" s="146"/>
      <c r="H211" s="139"/>
      <c r="I211" s="139"/>
      <c r="J211" s="139"/>
      <c r="K211" s="139"/>
      <c r="L211" s="139"/>
      <c r="M211" s="139"/>
      <c r="N211" s="139"/>
      <c r="O211" s="140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3"/>
      <c r="AF211" s="133"/>
      <c r="AG211" s="133"/>
      <c r="AH211" s="133"/>
    </row>
    <row r="212" spans="1:34" ht="15" hidden="1" customHeight="1" thickBot="1" x14ac:dyDescent="0.3">
      <c r="A212" s="135"/>
      <c r="B212" s="456" t="s">
        <v>281</v>
      </c>
      <c r="C212" s="457"/>
      <c r="D212" s="242" t="s">
        <v>321</v>
      </c>
      <c r="E212" s="240">
        <v>4</v>
      </c>
      <c r="F212" s="139"/>
      <c r="G212" s="146"/>
      <c r="H212" s="139"/>
      <c r="I212" s="139"/>
      <c r="J212" s="139"/>
      <c r="K212" s="139"/>
      <c r="L212" s="139"/>
      <c r="M212" s="139"/>
      <c r="N212" s="139"/>
      <c r="O212" s="140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</row>
    <row r="213" spans="1:34" ht="15" hidden="1" customHeight="1" x14ac:dyDescent="0.25">
      <c r="A213" s="135"/>
      <c r="B213" s="452" t="s">
        <v>182</v>
      </c>
      <c r="C213" s="453"/>
      <c r="D213" s="243" t="s">
        <v>278</v>
      </c>
      <c r="E213" s="240">
        <v>4</v>
      </c>
      <c r="F213" s="139"/>
      <c r="G213" s="146"/>
      <c r="H213" s="139"/>
      <c r="I213" s="139"/>
      <c r="J213" s="139"/>
      <c r="K213" s="139"/>
      <c r="L213" s="139"/>
      <c r="M213" s="139"/>
      <c r="N213" s="139"/>
      <c r="O213" s="140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</row>
    <row r="214" spans="1:34" ht="15" hidden="1" customHeight="1" x14ac:dyDescent="0.25">
      <c r="A214" s="135"/>
      <c r="B214" s="452"/>
      <c r="C214" s="453"/>
      <c r="D214" s="244" t="s">
        <v>183</v>
      </c>
      <c r="E214" s="240">
        <v>6</v>
      </c>
      <c r="F214" s="139"/>
      <c r="G214" s="146"/>
      <c r="H214" s="139"/>
      <c r="I214" s="139"/>
      <c r="J214" s="139"/>
      <c r="K214" s="139"/>
      <c r="L214" s="139"/>
      <c r="M214" s="139"/>
      <c r="N214" s="139"/>
      <c r="O214" s="140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</row>
    <row r="215" spans="1:34" ht="15" hidden="1" customHeight="1" x14ac:dyDescent="0.25">
      <c r="A215" s="135"/>
      <c r="B215" s="452"/>
      <c r="C215" s="453"/>
      <c r="D215" s="244" t="s">
        <v>184</v>
      </c>
      <c r="E215" s="240">
        <v>2</v>
      </c>
      <c r="F215" s="139"/>
      <c r="G215" s="146"/>
      <c r="H215" s="139"/>
      <c r="I215" s="139"/>
      <c r="J215" s="139"/>
      <c r="K215" s="139"/>
      <c r="L215" s="139"/>
      <c r="M215" s="139"/>
      <c r="N215" s="139"/>
      <c r="O215" s="140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</row>
    <row r="216" spans="1:34" ht="15" hidden="1" customHeight="1" x14ac:dyDescent="0.25">
      <c r="A216" s="135"/>
      <c r="B216" s="452"/>
      <c r="C216" s="453"/>
      <c r="D216" s="244" t="s">
        <v>185</v>
      </c>
      <c r="E216" s="240">
        <v>12</v>
      </c>
      <c r="F216" s="139"/>
      <c r="G216" s="146"/>
      <c r="H216" s="139"/>
      <c r="I216" s="139"/>
      <c r="J216" s="139"/>
      <c r="K216" s="139"/>
      <c r="L216" s="139"/>
      <c r="M216" s="139"/>
      <c r="N216" s="139"/>
      <c r="O216" s="140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</row>
    <row r="217" spans="1:34" ht="15" hidden="1" customHeight="1" x14ac:dyDescent="0.25">
      <c r="A217" s="135"/>
      <c r="B217" s="452"/>
      <c r="C217" s="453"/>
      <c r="D217" s="244" t="s">
        <v>186</v>
      </c>
      <c r="E217" s="240">
        <v>6</v>
      </c>
      <c r="F217" s="139"/>
      <c r="G217" s="146"/>
      <c r="H217" s="139"/>
      <c r="I217" s="139"/>
      <c r="J217" s="139"/>
      <c r="K217" s="139"/>
      <c r="L217" s="139"/>
      <c r="M217" s="139"/>
      <c r="N217" s="139"/>
      <c r="O217" s="140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</row>
    <row r="218" spans="1:34" ht="15" hidden="1" customHeight="1" x14ac:dyDescent="0.25">
      <c r="A218" s="135"/>
      <c r="B218" s="452"/>
      <c r="C218" s="453"/>
      <c r="D218" s="244" t="s">
        <v>187</v>
      </c>
      <c r="E218" s="240">
        <v>24</v>
      </c>
      <c r="F218" s="139"/>
      <c r="G218" s="146"/>
      <c r="H218" s="139"/>
      <c r="I218" s="139"/>
      <c r="J218" s="139"/>
      <c r="K218" s="139"/>
      <c r="L218" s="139"/>
      <c r="M218" s="139"/>
      <c r="N218" s="139"/>
      <c r="O218" s="140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</row>
    <row r="219" spans="1:34" ht="15" hidden="1" customHeight="1" x14ac:dyDescent="0.25">
      <c r="A219" s="135"/>
      <c r="B219" s="452"/>
      <c r="C219" s="453"/>
      <c r="D219" s="244" t="s">
        <v>279</v>
      </c>
      <c r="E219" s="240">
        <v>6</v>
      </c>
      <c r="F219" s="139"/>
      <c r="G219" s="146"/>
      <c r="H219" s="139"/>
      <c r="I219" s="139"/>
      <c r="J219" s="139"/>
      <c r="K219" s="139"/>
      <c r="L219" s="139"/>
      <c r="M219" s="139"/>
      <c r="N219" s="139"/>
      <c r="O219" s="140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</row>
    <row r="220" spans="1:34" ht="15.75" hidden="1" customHeight="1" x14ac:dyDescent="0.25">
      <c r="A220" s="135"/>
      <c r="B220" s="452"/>
      <c r="C220" s="453"/>
      <c r="D220" s="244" t="s">
        <v>188</v>
      </c>
      <c r="E220" s="240">
        <v>6</v>
      </c>
      <c r="F220" s="139"/>
      <c r="G220" s="146"/>
      <c r="H220" s="139"/>
      <c r="I220" s="139"/>
      <c r="J220" s="139"/>
      <c r="K220" s="139"/>
      <c r="L220" s="139"/>
      <c r="M220" s="139"/>
      <c r="N220" s="139"/>
      <c r="O220" s="140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</row>
    <row r="221" spans="1:34" ht="15" hidden="1" customHeight="1" x14ac:dyDescent="0.25">
      <c r="A221" s="135"/>
      <c r="B221" s="452"/>
      <c r="C221" s="453"/>
      <c r="D221" s="245" t="s">
        <v>188</v>
      </c>
      <c r="E221" s="240">
        <v>6</v>
      </c>
      <c r="F221" s="139"/>
      <c r="G221" s="146"/>
      <c r="H221" s="139"/>
      <c r="I221" s="139"/>
      <c r="J221" s="139"/>
      <c r="K221" s="139"/>
      <c r="L221" s="139"/>
      <c r="M221" s="139"/>
      <c r="N221" s="139"/>
      <c r="O221" s="140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</row>
    <row r="222" spans="1:34" ht="15" hidden="1" customHeight="1" x14ac:dyDescent="0.25">
      <c r="A222" s="135"/>
      <c r="B222" s="454"/>
      <c r="C222" s="455"/>
      <c r="D222" s="245" t="s">
        <v>285</v>
      </c>
      <c r="E222" s="241">
        <v>2</v>
      </c>
      <c r="F222" s="139"/>
      <c r="G222" s="146"/>
      <c r="H222" s="139"/>
      <c r="I222" s="139"/>
      <c r="J222" s="139"/>
      <c r="K222" s="139"/>
      <c r="L222" s="139"/>
      <c r="M222" s="139"/>
      <c r="N222" s="139"/>
      <c r="O222" s="140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</row>
    <row r="223" spans="1:34" hidden="1" x14ac:dyDescent="0.25">
      <c r="A223" s="135"/>
      <c r="B223" s="139"/>
      <c r="C223" s="139"/>
      <c r="D223" s="139"/>
      <c r="E223" s="139"/>
      <c r="F223" s="139"/>
      <c r="G223" s="146"/>
      <c r="H223" s="139"/>
      <c r="I223" s="139"/>
      <c r="J223" s="139"/>
      <c r="K223" s="139"/>
      <c r="L223" s="139"/>
      <c r="M223" s="139"/>
      <c r="N223" s="139"/>
      <c r="O223" s="140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</row>
    <row r="224" spans="1:34" x14ac:dyDescent="0.25">
      <c r="A224" s="135"/>
      <c r="B224" s="139"/>
      <c r="C224" s="139"/>
      <c r="D224" s="139"/>
      <c r="E224" s="139"/>
      <c r="F224" s="139"/>
      <c r="G224" s="146"/>
      <c r="H224" s="139"/>
      <c r="I224" s="139"/>
      <c r="J224" s="139"/>
      <c r="K224" s="139"/>
      <c r="L224" s="139"/>
      <c r="M224" s="139"/>
      <c r="N224" s="139"/>
      <c r="O224" s="140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</row>
    <row r="225" spans="1:30" x14ac:dyDescent="0.25">
      <c r="A225" s="135"/>
      <c r="B225" s="139"/>
      <c r="C225" s="139"/>
      <c r="D225" s="139"/>
      <c r="E225" s="139"/>
      <c r="F225" s="139"/>
      <c r="G225" s="146"/>
      <c r="H225" s="139"/>
      <c r="I225" s="139"/>
      <c r="J225" s="139"/>
      <c r="K225" s="139"/>
      <c r="L225" s="139"/>
      <c r="M225" s="139"/>
      <c r="N225" s="139"/>
      <c r="O225" s="140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</row>
    <row r="226" spans="1:30" x14ac:dyDescent="0.25">
      <c r="A226" s="135"/>
      <c r="B226" s="139"/>
      <c r="C226" s="139"/>
      <c r="D226" s="139"/>
      <c r="E226" s="139"/>
      <c r="F226" s="139"/>
      <c r="G226" s="146"/>
      <c r="H226" s="139"/>
      <c r="I226" s="139"/>
      <c r="J226" s="139"/>
      <c r="K226" s="139"/>
      <c r="L226" s="139"/>
      <c r="M226" s="139"/>
      <c r="N226" s="139"/>
      <c r="O226" s="140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</row>
    <row r="227" spans="1:30" x14ac:dyDescent="0.25">
      <c r="A227" s="135"/>
      <c r="B227" s="139"/>
      <c r="C227" s="139"/>
      <c r="D227" s="139"/>
      <c r="E227" s="139"/>
      <c r="F227" s="139"/>
      <c r="G227" s="146"/>
      <c r="H227" s="139"/>
      <c r="I227" s="139"/>
      <c r="J227" s="139"/>
      <c r="K227" s="139"/>
      <c r="L227" s="139"/>
      <c r="M227" s="139"/>
      <c r="N227" s="139"/>
      <c r="O227" s="140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</row>
    <row r="228" spans="1:30" x14ac:dyDescent="0.25">
      <c r="A228" s="135"/>
      <c r="B228" s="139"/>
      <c r="C228" s="139"/>
      <c r="D228" s="139"/>
      <c r="E228" s="139"/>
      <c r="F228" s="139"/>
      <c r="G228" s="146"/>
      <c r="H228" s="139"/>
      <c r="I228" s="139"/>
      <c r="J228" s="139"/>
      <c r="K228" s="139"/>
      <c r="L228" s="139"/>
      <c r="M228" s="139"/>
      <c r="N228" s="139"/>
      <c r="O228" s="140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</row>
    <row r="229" spans="1:30" x14ac:dyDescent="0.25">
      <c r="A229" s="135"/>
      <c r="B229" s="139"/>
      <c r="C229" s="139"/>
      <c r="D229" s="139"/>
      <c r="E229" s="139"/>
      <c r="F229" s="139"/>
      <c r="G229" s="146"/>
      <c r="H229" s="139"/>
      <c r="I229" s="139"/>
      <c r="J229" s="139"/>
      <c r="K229" s="139"/>
      <c r="L229" s="139"/>
      <c r="M229" s="139"/>
      <c r="N229" s="139"/>
      <c r="O229" s="140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</row>
    <row r="230" spans="1:30" x14ac:dyDescent="0.25">
      <c r="A230" s="135"/>
      <c r="B230" s="139"/>
      <c r="C230" s="139"/>
      <c r="D230" s="139"/>
      <c r="E230" s="139"/>
      <c r="F230" s="139"/>
      <c r="G230" s="146"/>
      <c r="H230" s="139"/>
      <c r="I230" s="139"/>
      <c r="J230" s="139"/>
      <c r="K230" s="139"/>
      <c r="L230" s="139"/>
      <c r="M230" s="139"/>
      <c r="N230" s="139"/>
      <c r="O230" s="140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</row>
    <row r="231" spans="1:30" x14ac:dyDescent="0.25">
      <c r="A231" s="135"/>
      <c r="B231" s="139"/>
      <c r="C231" s="139"/>
      <c r="D231" s="139"/>
      <c r="E231" s="139"/>
      <c r="F231" s="139"/>
      <c r="G231" s="146"/>
      <c r="H231" s="139"/>
      <c r="I231" s="139"/>
      <c r="J231" s="139"/>
      <c r="K231" s="139"/>
      <c r="L231" s="139"/>
      <c r="M231" s="139"/>
      <c r="N231" s="139"/>
      <c r="O231" s="140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</row>
    <row r="232" spans="1:30" x14ac:dyDescent="0.25">
      <c r="A232" s="135"/>
      <c r="B232" s="139"/>
      <c r="C232" s="139"/>
      <c r="D232" s="139"/>
      <c r="E232" s="139"/>
      <c r="F232" s="139"/>
      <c r="G232" s="146"/>
      <c r="H232" s="139"/>
      <c r="I232" s="139"/>
      <c r="J232" s="139"/>
      <c r="K232" s="139"/>
      <c r="L232" s="139"/>
      <c r="M232" s="139"/>
      <c r="N232" s="139"/>
      <c r="O232" s="140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</row>
    <row r="233" spans="1:30" x14ac:dyDescent="0.25">
      <c r="A233" s="135"/>
      <c r="B233" s="139"/>
      <c r="C233" s="139"/>
      <c r="D233" s="139"/>
      <c r="E233" s="139"/>
      <c r="F233" s="139"/>
      <c r="G233" s="146"/>
      <c r="H233" s="139"/>
      <c r="I233" s="139"/>
      <c r="J233" s="139"/>
      <c r="K233" s="139"/>
      <c r="L233" s="139"/>
      <c r="M233" s="139"/>
      <c r="N233" s="139"/>
      <c r="O233" s="140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</row>
    <row r="234" spans="1:30" x14ac:dyDescent="0.25">
      <c r="A234" s="135"/>
      <c r="B234" s="139"/>
      <c r="C234" s="139"/>
      <c r="D234" s="139"/>
      <c r="E234" s="139"/>
      <c r="F234" s="139"/>
      <c r="G234" s="146"/>
      <c r="H234" s="139"/>
      <c r="I234" s="139"/>
      <c r="J234" s="139"/>
      <c r="K234" s="139"/>
      <c r="L234" s="139"/>
      <c r="M234" s="139"/>
      <c r="N234" s="139"/>
      <c r="O234" s="140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</row>
    <row r="235" spans="1:30" x14ac:dyDescent="0.25">
      <c r="A235" s="135"/>
      <c r="B235" s="139"/>
      <c r="C235" s="139"/>
      <c r="D235" s="139"/>
      <c r="E235" s="139"/>
      <c r="F235" s="139"/>
      <c r="G235" s="146"/>
      <c r="H235" s="139"/>
      <c r="I235" s="139"/>
      <c r="J235" s="139"/>
      <c r="K235" s="139"/>
      <c r="L235" s="139"/>
      <c r="M235" s="139"/>
      <c r="N235" s="139"/>
      <c r="O235" s="140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</row>
    <row r="236" spans="1:30" x14ac:dyDescent="0.25">
      <c r="A236" s="135"/>
      <c r="B236" s="139"/>
      <c r="C236" s="139"/>
      <c r="D236" s="139"/>
      <c r="E236" s="139"/>
      <c r="F236" s="139"/>
      <c r="G236" s="146"/>
      <c r="H236" s="139"/>
      <c r="I236" s="139"/>
      <c r="J236" s="139"/>
      <c r="K236" s="139"/>
      <c r="L236" s="139"/>
      <c r="M236" s="139"/>
      <c r="N236" s="139"/>
      <c r="O236" s="140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</row>
    <row r="237" spans="1:30" x14ac:dyDescent="0.25">
      <c r="A237" s="135"/>
      <c r="B237" s="139"/>
      <c r="C237" s="139"/>
      <c r="D237" s="139"/>
      <c r="E237" s="139"/>
      <c r="F237" s="139"/>
      <c r="G237" s="146"/>
      <c r="H237" s="139"/>
      <c r="I237" s="139"/>
      <c r="J237" s="139"/>
      <c r="K237" s="139"/>
      <c r="L237" s="139"/>
      <c r="M237" s="139"/>
      <c r="N237" s="139"/>
      <c r="O237" s="140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</row>
    <row r="238" spans="1:30" x14ac:dyDescent="0.25">
      <c r="A238" s="135"/>
      <c r="B238" s="139"/>
      <c r="C238" s="139"/>
      <c r="D238" s="139"/>
      <c r="E238" s="139"/>
      <c r="F238" s="139"/>
      <c r="G238" s="146"/>
      <c r="H238" s="139"/>
      <c r="I238" s="139"/>
      <c r="J238" s="139"/>
      <c r="K238" s="139"/>
      <c r="L238" s="139"/>
      <c r="M238" s="139"/>
      <c r="N238" s="139"/>
      <c r="O238" s="140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</row>
    <row r="239" spans="1:30" x14ac:dyDescent="0.25">
      <c r="A239" s="135"/>
      <c r="B239" s="139"/>
      <c r="C239" s="139"/>
      <c r="D239" s="139"/>
      <c r="E239" s="139"/>
      <c r="F239" s="139"/>
      <c r="G239" s="146"/>
      <c r="H239" s="139"/>
      <c r="I239" s="139"/>
      <c r="J239" s="139"/>
      <c r="K239" s="139"/>
      <c r="L239" s="139"/>
      <c r="M239" s="139"/>
      <c r="N239" s="139"/>
      <c r="O239" s="140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</row>
    <row r="240" spans="1:30" x14ac:dyDescent="0.25">
      <c r="A240" s="135"/>
      <c r="B240" s="139"/>
      <c r="C240" s="139"/>
      <c r="D240" s="139"/>
      <c r="E240" s="139"/>
      <c r="F240" s="139"/>
      <c r="G240" s="146"/>
      <c r="H240" s="139"/>
      <c r="I240" s="139"/>
      <c r="J240" s="139"/>
      <c r="K240" s="139"/>
      <c r="L240" s="139"/>
      <c r="M240" s="139"/>
      <c r="N240" s="139"/>
      <c r="O240" s="140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</row>
    <row r="241" spans="1:30" x14ac:dyDescent="0.25">
      <c r="A241" s="135"/>
      <c r="B241" s="139"/>
      <c r="C241" s="139"/>
      <c r="D241" s="139"/>
      <c r="E241" s="139"/>
      <c r="F241" s="139"/>
      <c r="G241" s="146"/>
      <c r="H241" s="139"/>
      <c r="I241" s="139"/>
      <c r="J241" s="139"/>
      <c r="K241" s="139"/>
      <c r="L241" s="139"/>
      <c r="M241" s="139"/>
      <c r="N241" s="139"/>
      <c r="O241" s="140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</row>
    <row r="242" spans="1:30" x14ac:dyDescent="0.25">
      <c r="A242" s="135"/>
      <c r="B242" s="139"/>
      <c r="C242" s="139"/>
      <c r="D242" s="139"/>
      <c r="E242" s="139"/>
      <c r="F242" s="139"/>
      <c r="G242" s="146"/>
      <c r="H242" s="139"/>
      <c r="I242" s="139"/>
      <c r="J242" s="139"/>
      <c r="K242" s="139"/>
      <c r="L242" s="139"/>
      <c r="M242" s="139"/>
      <c r="N242" s="139"/>
      <c r="O242" s="140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</row>
    <row r="243" spans="1:30" x14ac:dyDescent="0.25">
      <c r="A243" s="135"/>
      <c r="B243" s="139"/>
      <c r="C243" s="139"/>
      <c r="D243" s="139"/>
      <c r="E243" s="139"/>
      <c r="F243" s="139"/>
      <c r="G243" s="146"/>
      <c r="H243" s="139"/>
      <c r="I243" s="139"/>
      <c r="J243" s="139"/>
      <c r="K243" s="139"/>
      <c r="L243" s="139"/>
      <c r="M243" s="139"/>
      <c r="N243" s="139"/>
      <c r="O243" s="140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</row>
    <row r="244" spans="1:30" x14ac:dyDescent="0.25">
      <c r="A244" s="135"/>
      <c r="B244" s="139"/>
      <c r="C244" s="139"/>
      <c r="D244" s="139"/>
      <c r="E244" s="139"/>
      <c r="F244" s="139"/>
      <c r="G244" s="146"/>
      <c r="H244" s="139"/>
      <c r="I244" s="139"/>
      <c r="J244" s="139"/>
      <c r="K244" s="139"/>
      <c r="L244" s="139"/>
      <c r="M244" s="139"/>
      <c r="N244" s="139"/>
      <c r="O244" s="140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</row>
    <row r="245" spans="1:30" x14ac:dyDescent="0.25">
      <c r="A245" s="135"/>
      <c r="B245" s="139"/>
      <c r="C245" s="139"/>
      <c r="D245" s="139"/>
      <c r="E245" s="139"/>
      <c r="F245" s="139"/>
      <c r="G245" s="146"/>
      <c r="H245" s="139"/>
      <c r="I245" s="139"/>
      <c r="J245" s="139"/>
      <c r="K245" s="139"/>
      <c r="L245" s="139"/>
      <c r="M245" s="139"/>
      <c r="N245" s="139"/>
      <c r="O245" s="140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</row>
    <row r="246" spans="1:30" x14ac:dyDescent="0.25">
      <c r="A246" s="135"/>
      <c r="B246" s="139"/>
      <c r="C246" s="139"/>
      <c r="D246" s="139"/>
      <c r="E246" s="139"/>
      <c r="F246" s="139"/>
      <c r="G246" s="146"/>
      <c r="H246" s="139"/>
      <c r="I246" s="139"/>
      <c r="J246" s="139"/>
      <c r="K246" s="139"/>
      <c r="L246" s="139"/>
      <c r="M246" s="139"/>
      <c r="N246" s="139"/>
      <c r="O246" s="140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</row>
    <row r="247" spans="1:30" x14ac:dyDescent="0.25">
      <c r="A247" s="135"/>
      <c r="B247" s="139"/>
      <c r="C247" s="139"/>
      <c r="D247" s="139"/>
      <c r="E247" s="139"/>
      <c r="F247" s="139"/>
      <c r="G247" s="146"/>
      <c r="H247" s="139"/>
      <c r="I247" s="139"/>
      <c r="J247" s="139"/>
      <c r="K247" s="139"/>
      <c r="L247" s="139"/>
      <c r="M247" s="139"/>
      <c r="N247" s="139"/>
      <c r="O247" s="140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</row>
    <row r="248" spans="1:30" x14ac:dyDescent="0.25">
      <c r="A248" s="135"/>
      <c r="B248" s="139"/>
      <c r="C248" s="139"/>
      <c r="D248" s="139"/>
      <c r="E248" s="139"/>
      <c r="F248" s="139"/>
      <c r="G248" s="146"/>
      <c r="H248" s="139"/>
      <c r="I248" s="139"/>
      <c r="J248" s="139"/>
      <c r="K248" s="139"/>
      <c r="L248" s="139"/>
      <c r="M248" s="139"/>
      <c r="N248" s="139"/>
      <c r="O248" s="140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</row>
    <row r="249" spans="1:30" x14ac:dyDescent="0.25">
      <c r="A249" s="135"/>
      <c r="B249" s="139"/>
      <c r="C249" s="139"/>
      <c r="D249" s="139"/>
      <c r="E249" s="139"/>
      <c r="F249" s="139"/>
      <c r="G249" s="146"/>
      <c r="H249" s="139"/>
      <c r="I249" s="139"/>
      <c r="J249" s="139"/>
      <c r="K249" s="139"/>
      <c r="L249" s="139"/>
      <c r="M249" s="139"/>
      <c r="N249" s="139"/>
      <c r="O249" s="140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</row>
    <row r="250" spans="1:30" x14ac:dyDescent="0.25">
      <c r="A250" s="135"/>
      <c r="B250" s="139"/>
      <c r="C250" s="139"/>
      <c r="D250" s="139"/>
      <c r="E250" s="139"/>
      <c r="F250" s="139"/>
      <c r="G250" s="146"/>
      <c r="H250" s="139"/>
      <c r="I250" s="139"/>
      <c r="J250" s="139"/>
      <c r="K250" s="139"/>
      <c r="L250" s="139"/>
      <c r="M250" s="139"/>
      <c r="N250" s="139"/>
      <c r="O250" s="140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</row>
    <row r="251" spans="1:30" x14ac:dyDescent="0.25">
      <c r="A251" s="135"/>
      <c r="B251" s="139"/>
      <c r="C251" s="139"/>
      <c r="D251" s="139"/>
      <c r="E251" s="139"/>
      <c r="F251" s="139"/>
      <c r="G251" s="146"/>
      <c r="H251" s="139"/>
      <c r="I251" s="139"/>
      <c r="J251" s="139"/>
      <c r="K251" s="139"/>
      <c r="L251" s="139"/>
      <c r="M251" s="139"/>
      <c r="N251" s="139"/>
      <c r="O251" s="140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</row>
    <row r="252" spans="1:30" x14ac:dyDescent="0.25">
      <c r="A252" s="135"/>
      <c r="B252" s="139"/>
      <c r="C252" s="139"/>
      <c r="D252" s="139"/>
      <c r="E252" s="139"/>
      <c r="F252" s="139"/>
      <c r="G252" s="146"/>
      <c r="H252" s="139"/>
      <c r="I252" s="139"/>
      <c r="J252" s="139"/>
      <c r="K252" s="139"/>
      <c r="L252" s="139"/>
      <c r="M252" s="139"/>
      <c r="N252" s="139"/>
      <c r="O252" s="140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</row>
    <row r="253" spans="1:30" x14ac:dyDescent="0.25">
      <c r="A253" s="135"/>
      <c r="B253" s="139"/>
      <c r="C253" s="139"/>
      <c r="D253" s="139"/>
      <c r="E253" s="139"/>
      <c r="F253" s="139"/>
      <c r="G253" s="146"/>
      <c r="H253" s="139"/>
      <c r="I253" s="139"/>
      <c r="J253" s="139"/>
      <c r="K253" s="139"/>
      <c r="L253" s="139"/>
      <c r="M253" s="139"/>
      <c r="N253" s="139"/>
      <c r="O253" s="140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</row>
    <row r="254" spans="1:30" x14ac:dyDescent="0.25">
      <c r="A254" s="135"/>
      <c r="B254" s="139"/>
      <c r="C254" s="139"/>
      <c r="D254" s="139"/>
      <c r="E254" s="139"/>
      <c r="F254" s="139"/>
      <c r="G254" s="146"/>
      <c r="H254" s="139"/>
      <c r="I254" s="139"/>
      <c r="J254" s="139"/>
      <c r="K254" s="139"/>
      <c r="L254" s="139"/>
      <c r="M254" s="139"/>
      <c r="N254" s="139"/>
      <c r="O254" s="140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</row>
    <row r="255" spans="1:30" x14ac:dyDescent="0.25">
      <c r="A255" s="135"/>
      <c r="B255" s="139"/>
      <c r="C255" s="139"/>
      <c r="D255" s="139"/>
      <c r="E255" s="139"/>
      <c r="F255" s="139"/>
      <c r="G255" s="146"/>
      <c r="H255" s="139"/>
      <c r="I255" s="139"/>
      <c r="J255" s="139"/>
      <c r="K255" s="139"/>
      <c r="L255" s="139"/>
      <c r="M255" s="139"/>
      <c r="N255" s="139"/>
      <c r="O255" s="140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</row>
    <row r="256" spans="1:30" x14ac:dyDescent="0.25">
      <c r="A256" s="135"/>
      <c r="B256" s="139"/>
      <c r="C256" s="139"/>
      <c r="D256" s="139"/>
      <c r="E256" s="139"/>
      <c r="F256" s="139"/>
      <c r="G256" s="146"/>
      <c r="H256" s="139"/>
      <c r="I256" s="139"/>
      <c r="J256" s="139"/>
      <c r="K256" s="139"/>
      <c r="L256" s="139"/>
      <c r="M256" s="139"/>
      <c r="N256" s="139"/>
      <c r="O256" s="140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</row>
    <row r="257" spans="1:30" x14ac:dyDescent="0.25">
      <c r="A257" s="135"/>
      <c r="B257" s="139"/>
      <c r="C257" s="139"/>
      <c r="D257" s="139"/>
      <c r="E257" s="139"/>
      <c r="F257" s="139"/>
      <c r="G257" s="146"/>
      <c r="H257" s="139"/>
      <c r="I257" s="139"/>
      <c r="J257" s="139"/>
      <c r="K257" s="139"/>
      <c r="L257" s="139"/>
      <c r="M257" s="139"/>
      <c r="N257" s="139"/>
      <c r="O257" s="140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</row>
    <row r="258" spans="1:30" x14ac:dyDescent="0.25">
      <c r="A258" s="135"/>
      <c r="B258" s="139"/>
      <c r="C258" s="139"/>
      <c r="D258" s="139"/>
      <c r="E258" s="139"/>
      <c r="F258" s="139"/>
      <c r="G258" s="146"/>
      <c r="H258" s="139"/>
      <c r="I258" s="139"/>
      <c r="J258" s="139"/>
      <c r="K258" s="139"/>
      <c r="L258" s="139"/>
      <c r="M258" s="139"/>
      <c r="N258" s="139"/>
      <c r="O258" s="140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</row>
    <row r="259" spans="1:30" x14ac:dyDescent="0.25">
      <c r="A259" s="135"/>
      <c r="B259" s="139"/>
      <c r="C259" s="139"/>
      <c r="D259" s="139"/>
      <c r="E259" s="139"/>
      <c r="F259" s="139"/>
      <c r="G259" s="146"/>
      <c r="H259" s="139"/>
      <c r="I259" s="139"/>
      <c r="J259" s="139"/>
      <c r="K259" s="139"/>
      <c r="L259" s="139"/>
      <c r="M259" s="139"/>
      <c r="N259" s="139"/>
      <c r="O259" s="140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</row>
    <row r="260" spans="1:30" x14ac:dyDescent="0.25">
      <c r="A260" s="135"/>
      <c r="B260" s="139"/>
      <c r="C260" s="139"/>
      <c r="D260" s="139"/>
      <c r="E260" s="139"/>
      <c r="F260" s="139"/>
      <c r="G260" s="146"/>
      <c r="H260" s="139"/>
      <c r="I260" s="139"/>
      <c r="J260" s="139"/>
      <c r="K260" s="139"/>
      <c r="L260" s="139"/>
      <c r="M260" s="139"/>
      <c r="N260" s="139"/>
      <c r="O260" s="140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</row>
    <row r="261" spans="1:30" x14ac:dyDescent="0.25">
      <c r="A261" s="135"/>
      <c r="B261" s="139"/>
      <c r="C261" s="139"/>
      <c r="D261" s="139"/>
      <c r="E261" s="139"/>
      <c r="F261" s="139"/>
      <c r="G261" s="146"/>
      <c r="H261" s="139"/>
      <c r="I261" s="139"/>
      <c r="J261" s="139"/>
      <c r="K261" s="139"/>
      <c r="L261" s="139"/>
      <c r="M261" s="139"/>
      <c r="N261" s="139"/>
      <c r="O261" s="140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</row>
    <row r="262" spans="1:30" x14ac:dyDescent="0.25">
      <c r="A262" s="135"/>
      <c r="B262" s="139"/>
      <c r="C262" s="139"/>
      <c r="D262" s="139"/>
      <c r="E262" s="139"/>
      <c r="F262" s="139"/>
      <c r="G262" s="146"/>
      <c r="H262" s="139"/>
      <c r="I262" s="139"/>
      <c r="J262" s="139"/>
      <c r="K262" s="139"/>
      <c r="L262" s="139"/>
      <c r="M262" s="139"/>
      <c r="N262" s="139"/>
      <c r="O262" s="140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</row>
    <row r="263" spans="1:30" x14ac:dyDescent="0.25">
      <c r="A263" s="135"/>
      <c r="B263" s="139"/>
      <c r="C263" s="139"/>
      <c r="D263" s="139"/>
      <c r="E263" s="139"/>
      <c r="F263" s="139"/>
      <c r="G263" s="146"/>
      <c r="H263" s="139"/>
      <c r="I263" s="139"/>
      <c r="J263" s="139"/>
      <c r="K263" s="139"/>
      <c r="L263" s="139"/>
      <c r="M263" s="139"/>
      <c r="N263" s="139"/>
      <c r="O263" s="140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</row>
    <row r="264" spans="1:30" x14ac:dyDescent="0.25">
      <c r="A264" s="135"/>
      <c r="B264" s="139"/>
      <c r="C264" s="139"/>
      <c r="D264" s="139"/>
      <c r="E264" s="139"/>
      <c r="F264" s="139"/>
      <c r="G264" s="146"/>
      <c r="H264" s="139"/>
      <c r="I264" s="139"/>
      <c r="J264" s="139"/>
      <c r="K264" s="139"/>
      <c r="L264" s="139"/>
      <c r="M264" s="139"/>
      <c r="N264" s="139"/>
      <c r="O264" s="140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</row>
    <row r="265" spans="1:30" x14ac:dyDescent="0.25">
      <c r="A265" s="135"/>
      <c r="B265" s="139"/>
      <c r="C265" s="139"/>
      <c r="D265" s="139"/>
      <c r="E265" s="139"/>
      <c r="F265" s="139"/>
      <c r="G265" s="146"/>
      <c r="H265" s="139"/>
      <c r="I265" s="139"/>
      <c r="J265" s="139"/>
      <c r="K265" s="139"/>
      <c r="L265" s="139"/>
      <c r="M265" s="139"/>
      <c r="N265" s="139"/>
      <c r="O265" s="140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</row>
    <row r="266" spans="1:30" x14ac:dyDescent="0.25">
      <c r="A266" s="135"/>
      <c r="B266" s="139"/>
      <c r="C266" s="139"/>
      <c r="D266" s="139"/>
      <c r="E266" s="139"/>
      <c r="F266" s="139"/>
      <c r="G266" s="146"/>
      <c r="H266" s="139"/>
      <c r="I266" s="139"/>
      <c r="J266" s="139"/>
      <c r="K266" s="139"/>
      <c r="L266" s="139"/>
      <c r="M266" s="139"/>
      <c r="N266" s="139"/>
      <c r="O266" s="140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</row>
    <row r="267" spans="1:30" x14ac:dyDescent="0.25">
      <c r="A267" s="135"/>
      <c r="B267" s="139"/>
      <c r="C267" s="139"/>
      <c r="D267" s="139"/>
      <c r="E267" s="139"/>
      <c r="F267" s="139"/>
      <c r="G267" s="146"/>
      <c r="H267" s="139"/>
      <c r="I267" s="139"/>
      <c r="J267" s="139"/>
      <c r="K267" s="139"/>
      <c r="L267" s="139"/>
      <c r="M267" s="139"/>
      <c r="N267" s="139"/>
      <c r="O267" s="140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</row>
    <row r="268" spans="1:30" x14ac:dyDescent="0.25">
      <c r="A268" s="135"/>
      <c r="B268" s="139"/>
      <c r="C268" s="139"/>
      <c r="D268" s="139"/>
      <c r="E268" s="139"/>
      <c r="F268" s="139"/>
      <c r="G268" s="146"/>
      <c r="H268" s="139"/>
      <c r="I268" s="139"/>
      <c r="J268" s="139"/>
      <c r="K268" s="139"/>
      <c r="L268" s="139"/>
      <c r="M268" s="139"/>
      <c r="N268" s="139"/>
      <c r="O268" s="140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</row>
    <row r="269" spans="1:30" x14ac:dyDescent="0.25">
      <c r="A269" s="135"/>
      <c r="B269" s="139"/>
      <c r="C269" s="139"/>
      <c r="D269" s="139"/>
      <c r="E269" s="139"/>
      <c r="F269" s="139"/>
      <c r="G269" s="146"/>
      <c r="H269" s="139"/>
      <c r="I269" s="139"/>
      <c r="J269" s="139"/>
      <c r="K269" s="139"/>
      <c r="L269" s="139"/>
      <c r="M269" s="139"/>
      <c r="N269" s="139"/>
      <c r="O269" s="140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</row>
    <row r="270" spans="1:30" x14ac:dyDescent="0.25">
      <c r="A270" s="135"/>
      <c r="B270" s="139"/>
      <c r="C270" s="139"/>
      <c r="D270" s="139"/>
      <c r="E270" s="139"/>
      <c r="F270" s="139"/>
      <c r="G270" s="146"/>
      <c r="H270" s="139"/>
      <c r="I270" s="139"/>
      <c r="J270" s="139"/>
      <c r="K270" s="139"/>
      <c r="L270" s="139"/>
      <c r="M270" s="139"/>
      <c r="N270" s="139"/>
      <c r="O270" s="140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</row>
    <row r="271" spans="1:30" x14ac:dyDescent="0.25">
      <c r="A271" s="135"/>
      <c r="B271" s="139"/>
      <c r="C271" s="139"/>
      <c r="D271" s="139"/>
      <c r="E271" s="139"/>
      <c r="F271" s="139"/>
      <c r="G271" s="146"/>
      <c r="H271" s="139"/>
      <c r="I271" s="139"/>
      <c r="J271" s="139"/>
      <c r="K271" s="139"/>
      <c r="L271" s="139"/>
      <c r="M271" s="139"/>
      <c r="N271" s="139"/>
      <c r="O271" s="140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</row>
    <row r="272" spans="1:30" x14ac:dyDescent="0.25">
      <c r="A272" s="135"/>
      <c r="B272" s="139"/>
      <c r="C272" s="139"/>
      <c r="D272" s="139"/>
      <c r="E272" s="139"/>
      <c r="F272" s="139"/>
      <c r="G272" s="146"/>
      <c r="H272" s="139"/>
      <c r="I272" s="139"/>
      <c r="J272" s="139"/>
      <c r="K272" s="139"/>
      <c r="L272" s="139"/>
      <c r="M272" s="139"/>
      <c r="N272" s="139"/>
      <c r="O272" s="140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</row>
    <row r="273" spans="1:30" x14ac:dyDescent="0.25">
      <c r="A273" s="135"/>
      <c r="B273" s="139"/>
      <c r="C273" s="139"/>
      <c r="D273" s="139"/>
      <c r="E273" s="139"/>
      <c r="F273" s="139"/>
      <c r="G273" s="146"/>
      <c r="H273" s="139"/>
      <c r="I273" s="139"/>
      <c r="J273" s="139"/>
      <c r="K273" s="139"/>
      <c r="L273" s="139"/>
      <c r="M273" s="139"/>
      <c r="N273" s="139"/>
      <c r="O273" s="140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</row>
    <row r="274" spans="1:30" x14ac:dyDescent="0.25">
      <c r="A274" s="135"/>
      <c r="B274" s="139"/>
      <c r="C274" s="139"/>
      <c r="D274" s="139"/>
      <c r="E274" s="139"/>
      <c r="F274" s="139"/>
      <c r="G274" s="146"/>
      <c r="H274" s="139"/>
      <c r="I274" s="139"/>
      <c r="J274" s="139"/>
      <c r="K274" s="139"/>
      <c r="L274" s="139"/>
      <c r="M274" s="139"/>
      <c r="N274" s="139"/>
      <c r="O274" s="140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</row>
    <row r="275" spans="1:30" x14ac:dyDescent="0.25">
      <c r="A275" s="135"/>
      <c r="B275" s="139"/>
      <c r="C275" s="139"/>
      <c r="D275" s="139"/>
      <c r="E275" s="139"/>
      <c r="F275" s="139"/>
      <c r="G275" s="146"/>
      <c r="H275" s="139"/>
      <c r="I275" s="139"/>
      <c r="J275" s="139"/>
      <c r="K275" s="139"/>
      <c r="L275" s="139"/>
      <c r="M275" s="139"/>
      <c r="N275" s="139"/>
      <c r="O275" s="140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</row>
    <row r="276" spans="1:30" x14ac:dyDescent="0.25">
      <c r="A276" s="135"/>
      <c r="B276" s="139"/>
      <c r="C276" s="139"/>
      <c r="D276" s="139"/>
      <c r="E276" s="139"/>
      <c r="F276" s="139"/>
      <c r="G276" s="146"/>
      <c r="H276" s="139"/>
      <c r="I276" s="139"/>
      <c r="J276" s="139"/>
      <c r="K276" s="139"/>
      <c r="L276" s="139"/>
      <c r="M276" s="139"/>
      <c r="N276" s="139"/>
      <c r="O276" s="140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</row>
    <row r="277" spans="1:30" x14ac:dyDescent="0.25">
      <c r="A277" s="135"/>
      <c r="B277" s="139"/>
      <c r="C277" s="139"/>
      <c r="D277" s="139"/>
      <c r="E277" s="139"/>
      <c r="F277" s="139"/>
      <c r="G277" s="146"/>
      <c r="H277" s="139"/>
      <c r="I277" s="139"/>
      <c r="J277" s="139"/>
      <c r="K277" s="139"/>
      <c r="L277" s="139"/>
      <c r="M277" s="139"/>
      <c r="N277" s="139"/>
      <c r="O277" s="140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</row>
    <row r="278" spans="1:30" x14ac:dyDescent="0.25">
      <c r="A278" s="135"/>
      <c r="B278" s="139"/>
      <c r="C278" s="139"/>
      <c r="D278" s="139"/>
      <c r="E278" s="139"/>
      <c r="F278" s="139"/>
      <c r="G278" s="146"/>
      <c r="H278" s="139"/>
      <c r="I278" s="139"/>
      <c r="J278" s="139"/>
      <c r="K278" s="139"/>
      <c r="L278" s="139"/>
      <c r="M278" s="139"/>
      <c r="N278" s="139"/>
      <c r="O278" s="140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</row>
    <row r="279" spans="1:30" x14ac:dyDescent="0.25">
      <c r="A279" s="135"/>
      <c r="B279" s="139"/>
      <c r="C279" s="139"/>
      <c r="D279" s="139"/>
      <c r="E279" s="139"/>
      <c r="F279" s="139"/>
      <c r="G279" s="146"/>
      <c r="H279" s="139"/>
      <c r="I279" s="139"/>
      <c r="J279" s="139"/>
      <c r="K279" s="139"/>
      <c r="L279" s="139"/>
      <c r="M279" s="139"/>
      <c r="N279" s="139"/>
      <c r="O279" s="140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</row>
    <row r="280" spans="1:30" x14ac:dyDescent="0.25">
      <c r="A280" s="135"/>
      <c r="B280" s="139"/>
      <c r="C280" s="139"/>
      <c r="D280" s="139"/>
      <c r="E280" s="139"/>
      <c r="F280" s="139"/>
      <c r="G280" s="146"/>
      <c r="H280" s="139"/>
      <c r="I280" s="139"/>
      <c r="J280" s="139"/>
      <c r="K280" s="139"/>
      <c r="L280" s="139"/>
      <c r="M280" s="139"/>
      <c r="N280" s="139"/>
      <c r="O280" s="140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</row>
    <row r="281" spans="1:30" x14ac:dyDescent="0.25">
      <c r="A281" s="135"/>
      <c r="B281" s="139"/>
      <c r="C281" s="139"/>
      <c r="D281" s="139"/>
      <c r="E281" s="139"/>
      <c r="F281" s="139"/>
      <c r="G281" s="146"/>
      <c r="H281" s="139"/>
      <c r="I281" s="139"/>
      <c r="J281" s="139"/>
      <c r="K281" s="139"/>
      <c r="L281" s="139"/>
      <c r="M281" s="139"/>
      <c r="N281" s="139"/>
      <c r="O281" s="140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</row>
    <row r="282" spans="1:30" x14ac:dyDescent="0.25">
      <c r="A282" s="135"/>
      <c r="B282" s="139"/>
      <c r="C282" s="139"/>
      <c r="D282" s="139"/>
      <c r="E282" s="139"/>
      <c r="F282" s="139"/>
      <c r="G282" s="146"/>
      <c r="H282" s="139"/>
      <c r="I282" s="139"/>
      <c r="J282" s="139"/>
      <c r="K282" s="139"/>
      <c r="L282" s="139"/>
      <c r="M282" s="139"/>
      <c r="N282" s="139"/>
      <c r="O282" s="140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</row>
    <row r="283" spans="1:30" x14ac:dyDescent="0.25">
      <c r="A283" s="135"/>
      <c r="B283" s="139"/>
      <c r="C283" s="139"/>
      <c r="D283" s="139"/>
      <c r="E283" s="139"/>
      <c r="F283" s="139"/>
      <c r="G283" s="146"/>
      <c r="H283" s="139"/>
      <c r="I283" s="139"/>
      <c r="J283" s="139"/>
      <c r="K283" s="139"/>
      <c r="L283" s="139"/>
      <c r="M283" s="139"/>
      <c r="N283" s="139"/>
      <c r="O283" s="140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</row>
    <row r="284" spans="1:30" x14ac:dyDescent="0.25">
      <c r="A284" s="135"/>
      <c r="B284" s="139"/>
      <c r="C284" s="139"/>
      <c r="D284" s="139"/>
      <c r="E284" s="139"/>
      <c r="F284" s="139"/>
      <c r="G284" s="146"/>
      <c r="H284" s="139"/>
      <c r="I284" s="139"/>
      <c r="J284" s="139"/>
      <c r="K284" s="139"/>
      <c r="L284" s="139"/>
      <c r="M284" s="139"/>
      <c r="N284" s="139"/>
      <c r="O284" s="140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</row>
    <row r="285" spans="1:30" x14ac:dyDescent="0.25">
      <c r="A285" s="135"/>
      <c r="B285" s="139"/>
      <c r="C285" s="139"/>
      <c r="D285" s="139"/>
      <c r="E285" s="139"/>
      <c r="F285" s="139"/>
      <c r="G285" s="146"/>
      <c r="H285" s="139"/>
      <c r="I285" s="139"/>
      <c r="J285" s="139"/>
      <c r="K285" s="139"/>
      <c r="L285" s="139"/>
      <c r="M285" s="139"/>
      <c r="N285" s="139"/>
      <c r="O285" s="140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</row>
    <row r="286" spans="1:30" x14ac:dyDescent="0.25">
      <c r="A286" s="135"/>
      <c r="B286" s="139"/>
      <c r="C286" s="139"/>
      <c r="D286" s="139"/>
      <c r="E286" s="139"/>
      <c r="F286" s="139"/>
      <c r="G286" s="146"/>
      <c r="H286" s="139"/>
      <c r="I286" s="139"/>
      <c r="J286" s="139"/>
      <c r="K286" s="139"/>
      <c r="L286" s="139"/>
      <c r="M286" s="139"/>
      <c r="N286" s="139"/>
      <c r="O286" s="140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</row>
    <row r="287" spans="1:30" x14ac:dyDescent="0.25">
      <c r="A287" s="135"/>
      <c r="B287" s="139"/>
      <c r="C287" s="139"/>
      <c r="D287" s="139"/>
      <c r="E287" s="139"/>
      <c r="F287" s="139"/>
      <c r="G287" s="146"/>
      <c r="H287" s="139"/>
      <c r="I287" s="139"/>
      <c r="J287" s="139"/>
      <c r="K287" s="139"/>
      <c r="L287" s="139"/>
      <c r="M287" s="139"/>
      <c r="N287" s="139"/>
      <c r="O287" s="140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</row>
    <row r="288" spans="1:30" x14ac:dyDescent="0.25">
      <c r="A288" s="135"/>
      <c r="B288" s="139"/>
      <c r="C288" s="139"/>
      <c r="D288" s="139"/>
      <c r="E288" s="139"/>
      <c r="F288" s="139"/>
      <c r="G288" s="146"/>
      <c r="H288" s="139"/>
      <c r="I288" s="139"/>
      <c r="J288" s="139"/>
      <c r="K288" s="139"/>
      <c r="L288" s="139"/>
      <c r="M288" s="139"/>
      <c r="N288" s="139"/>
      <c r="O288" s="140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</row>
    <row r="289" spans="1:30" x14ac:dyDescent="0.25">
      <c r="A289" s="135"/>
      <c r="B289" s="139"/>
      <c r="C289" s="139"/>
      <c r="D289" s="139"/>
      <c r="E289" s="139"/>
      <c r="F289" s="139"/>
      <c r="G289" s="146"/>
      <c r="H289" s="139"/>
      <c r="I289" s="139"/>
      <c r="J289" s="139"/>
      <c r="K289" s="139"/>
      <c r="L289" s="139"/>
      <c r="M289" s="139"/>
      <c r="N289" s="139"/>
      <c r="O289" s="140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</row>
    <row r="290" spans="1:30" x14ac:dyDescent="0.25">
      <c r="A290" s="135"/>
      <c r="B290" s="139"/>
      <c r="C290" s="139"/>
      <c r="D290" s="139"/>
      <c r="E290" s="139"/>
      <c r="F290" s="139"/>
      <c r="G290" s="146"/>
      <c r="H290" s="139"/>
      <c r="I290" s="139"/>
      <c r="J290" s="139"/>
      <c r="K290" s="139"/>
      <c r="L290" s="139"/>
      <c r="M290" s="139"/>
      <c r="N290" s="139"/>
      <c r="O290" s="140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</row>
    <row r="291" spans="1:30" x14ac:dyDescent="0.25">
      <c r="A291" s="135"/>
      <c r="B291" s="139"/>
      <c r="C291" s="139"/>
      <c r="D291" s="139"/>
      <c r="E291" s="139"/>
      <c r="F291" s="139"/>
      <c r="G291" s="146"/>
      <c r="H291" s="139"/>
      <c r="I291" s="139"/>
      <c r="J291" s="139"/>
      <c r="K291" s="139"/>
      <c r="L291" s="139"/>
      <c r="M291" s="139"/>
      <c r="N291" s="139"/>
      <c r="O291" s="140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</row>
    <row r="292" spans="1:30" x14ac:dyDescent="0.25">
      <c r="A292" s="135"/>
      <c r="B292" s="139"/>
      <c r="C292" s="139"/>
      <c r="D292" s="139"/>
      <c r="E292" s="139"/>
      <c r="F292" s="139"/>
      <c r="G292" s="146"/>
      <c r="H292" s="139"/>
      <c r="I292" s="139"/>
      <c r="J292" s="139"/>
      <c r="K292" s="139"/>
      <c r="L292" s="139"/>
      <c r="M292" s="139"/>
      <c r="N292" s="139"/>
      <c r="O292" s="140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</row>
    <row r="293" spans="1:30" x14ac:dyDescent="0.25">
      <c r="A293" s="135"/>
      <c r="B293" s="139"/>
      <c r="C293" s="139"/>
      <c r="D293" s="139"/>
      <c r="E293" s="139"/>
      <c r="F293" s="139"/>
      <c r="G293" s="146"/>
      <c r="H293" s="139"/>
      <c r="I293" s="139"/>
      <c r="J293" s="139"/>
      <c r="K293" s="139"/>
      <c r="L293" s="139"/>
      <c r="M293" s="139"/>
      <c r="N293" s="139"/>
      <c r="O293" s="140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</row>
    <row r="294" spans="1:30" x14ac:dyDescent="0.25">
      <c r="A294" s="135"/>
      <c r="B294" s="139"/>
      <c r="C294" s="139"/>
      <c r="D294" s="139"/>
      <c r="E294" s="139"/>
      <c r="F294" s="139"/>
      <c r="G294" s="146"/>
      <c r="H294" s="139"/>
      <c r="I294" s="139"/>
      <c r="J294" s="139"/>
      <c r="K294" s="139"/>
      <c r="L294" s="139"/>
      <c r="M294" s="139"/>
      <c r="N294" s="139"/>
      <c r="O294" s="140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</row>
    <row r="295" spans="1:30" x14ac:dyDescent="0.25">
      <c r="A295" s="135"/>
      <c r="B295" s="139"/>
      <c r="C295" s="139"/>
      <c r="D295" s="139"/>
      <c r="E295" s="139"/>
      <c r="F295" s="139"/>
      <c r="G295" s="146"/>
      <c r="H295" s="139"/>
      <c r="I295" s="139"/>
      <c r="J295" s="139"/>
      <c r="K295" s="139"/>
      <c r="L295" s="139"/>
      <c r="M295" s="139"/>
      <c r="N295" s="139"/>
      <c r="O295" s="140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</row>
    <row r="296" spans="1:30" x14ac:dyDescent="0.25">
      <c r="A296" s="135"/>
      <c r="B296" s="139"/>
      <c r="C296" s="139"/>
      <c r="D296" s="139"/>
      <c r="E296" s="139"/>
      <c r="F296" s="139"/>
      <c r="G296" s="146"/>
      <c r="H296" s="139"/>
      <c r="I296" s="139"/>
      <c r="J296" s="139"/>
      <c r="K296" s="139"/>
      <c r="L296" s="139"/>
      <c r="M296" s="139"/>
      <c r="N296" s="139"/>
      <c r="O296" s="140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</row>
    <row r="297" spans="1:30" x14ac:dyDescent="0.25">
      <c r="A297" s="135"/>
      <c r="B297" s="139"/>
      <c r="C297" s="139"/>
      <c r="D297" s="139"/>
      <c r="E297" s="139"/>
      <c r="F297" s="139"/>
      <c r="G297" s="146"/>
      <c r="H297" s="139"/>
      <c r="I297" s="139"/>
      <c r="J297" s="139"/>
      <c r="K297" s="139"/>
      <c r="L297" s="139"/>
      <c r="M297" s="139"/>
      <c r="N297" s="139"/>
      <c r="O297" s="140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</row>
    <row r="298" spans="1:30" x14ac:dyDescent="0.25">
      <c r="A298" s="135"/>
      <c r="B298" s="139"/>
      <c r="C298" s="139"/>
      <c r="D298" s="139"/>
      <c r="E298" s="139"/>
      <c r="F298" s="139"/>
      <c r="G298" s="146"/>
      <c r="H298" s="139"/>
      <c r="I298" s="139"/>
      <c r="J298" s="139"/>
      <c r="K298" s="139"/>
      <c r="L298" s="139"/>
      <c r="M298" s="139"/>
      <c r="N298" s="139"/>
      <c r="O298" s="140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</row>
    <row r="299" spans="1:30" x14ac:dyDescent="0.25">
      <c r="A299" s="135"/>
      <c r="B299" s="139"/>
      <c r="C299" s="139"/>
      <c r="D299" s="139"/>
      <c r="E299" s="139"/>
      <c r="F299" s="139"/>
      <c r="G299" s="146"/>
      <c r="H299" s="139"/>
      <c r="I299" s="139"/>
      <c r="J299" s="139"/>
      <c r="K299" s="139"/>
      <c r="L299" s="139"/>
      <c r="M299" s="139"/>
      <c r="N299" s="139"/>
      <c r="O299" s="140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</row>
    <row r="300" spans="1:30" x14ac:dyDescent="0.25">
      <c r="A300" s="135"/>
      <c r="B300" s="139"/>
      <c r="C300" s="139"/>
      <c r="D300" s="139"/>
      <c r="E300" s="139"/>
      <c r="F300" s="139"/>
      <c r="G300" s="146"/>
      <c r="H300" s="139"/>
      <c r="I300" s="139"/>
      <c r="J300" s="139"/>
      <c r="K300" s="139"/>
      <c r="L300" s="139"/>
      <c r="M300" s="139"/>
      <c r="N300" s="139"/>
      <c r="O300" s="140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</row>
    <row r="301" spans="1:30" x14ac:dyDescent="0.25">
      <c r="A301" s="135"/>
      <c r="B301" s="139"/>
      <c r="C301" s="139"/>
      <c r="D301" s="139"/>
      <c r="E301" s="139"/>
      <c r="F301" s="139"/>
      <c r="G301" s="146"/>
      <c r="H301" s="139"/>
      <c r="I301" s="139"/>
      <c r="J301" s="139"/>
      <c r="K301" s="139"/>
      <c r="L301" s="139"/>
      <c r="M301" s="139"/>
      <c r="N301" s="139"/>
      <c r="O301" s="140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</row>
    <row r="302" spans="1:30" x14ac:dyDescent="0.25">
      <c r="A302" s="135"/>
      <c r="B302" s="139"/>
      <c r="C302" s="139"/>
      <c r="D302" s="139"/>
      <c r="E302" s="139"/>
      <c r="F302" s="139"/>
      <c r="G302" s="146"/>
      <c r="H302" s="139"/>
      <c r="I302" s="139"/>
      <c r="J302" s="139"/>
      <c r="K302" s="139"/>
      <c r="L302" s="139"/>
      <c r="M302" s="139"/>
      <c r="N302" s="139"/>
      <c r="O302" s="140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</row>
    <row r="303" spans="1:30" x14ac:dyDescent="0.25">
      <c r="A303" s="135"/>
      <c r="B303" s="139"/>
      <c r="C303" s="139"/>
      <c r="D303" s="139"/>
      <c r="E303" s="139"/>
      <c r="F303" s="139"/>
      <c r="G303" s="146"/>
      <c r="H303" s="139"/>
      <c r="I303" s="139"/>
      <c r="J303" s="139"/>
      <c r="K303" s="139"/>
      <c r="L303" s="139"/>
      <c r="M303" s="139"/>
      <c r="N303" s="139"/>
      <c r="O303" s="140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</row>
    <row r="304" spans="1:30" x14ac:dyDescent="0.25">
      <c r="A304" s="135"/>
      <c r="B304" s="137"/>
      <c r="C304" s="137"/>
      <c r="D304" s="137"/>
      <c r="E304" s="137"/>
      <c r="F304" s="137"/>
      <c r="G304" s="138"/>
      <c r="H304" s="137"/>
      <c r="I304" s="137"/>
      <c r="J304" s="137"/>
      <c r="K304" s="136"/>
      <c r="L304" s="136"/>
      <c r="M304" s="136"/>
      <c r="N304" s="136"/>
      <c r="O304" s="135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</row>
    <row r="305" spans="1:30" x14ac:dyDescent="0.25">
      <c r="A305" s="135"/>
      <c r="B305" s="137"/>
      <c r="C305" s="137"/>
      <c r="D305" s="137"/>
      <c r="E305" s="137"/>
      <c r="F305" s="137"/>
      <c r="G305" s="138"/>
      <c r="H305" s="137"/>
      <c r="I305" s="137"/>
      <c r="J305" s="137"/>
      <c r="K305" s="136"/>
      <c r="L305" s="136"/>
      <c r="M305" s="136"/>
      <c r="N305" s="136"/>
      <c r="O305" s="135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</row>
    <row r="306" spans="1:30" x14ac:dyDescent="0.25">
      <c r="A306" s="135"/>
      <c r="B306" s="137"/>
      <c r="C306" s="137"/>
      <c r="D306" s="137"/>
      <c r="E306" s="137"/>
      <c r="F306" s="137"/>
      <c r="G306" s="138"/>
      <c r="H306" s="137"/>
      <c r="I306" s="137"/>
      <c r="J306" s="137"/>
      <c r="K306" s="136"/>
      <c r="L306" s="136"/>
      <c r="M306" s="136"/>
      <c r="N306" s="136"/>
      <c r="O306" s="135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</row>
    <row r="307" spans="1:30" x14ac:dyDescent="0.25">
      <c r="A307" s="135"/>
      <c r="B307" s="137"/>
      <c r="C307" s="137"/>
      <c r="D307" s="137"/>
      <c r="E307" s="137"/>
      <c r="F307" s="137"/>
      <c r="G307" s="138"/>
      <c r="H307" s="137"/>
      <c r="I307" s="137"/>
      <c r="J307" s="137"/>
      <c r="K307" s="136"/>
      <c r="L307" s="136"/>
      <c r="M307" s="136"/>
      <c r="N307" s="136"/>
      <c r="O307" s="135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</row>
    <row r="308" spans="1:30" x14ac:dyDescent="0.25">
      <c r="A308" s="135"/>
      <c r="B308" s="137"/>
      <c r="C308" s="137"/>
      <c r="D308" s="137"/>
      <c r="E308" s="137"/>
      <c r="F308" s="137"/>
      <c r="G308" s="138"/>
      <c r="H308" s="137"/>
      <c r="I308" s="137"/>
      <c r="J308" s="137"/>
      <c r="K308" s="136"/>
      <c r="L308" s="136"/>
      <c r="M308" s="136"/>
      <c r="N308" s="136"/>
      <c r="O308" s="135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</row>
    <row r="309" spans="1:30" x14ac:dyDescent="0.25">
      <c r="A309" s="135"/>
      <c r="B309" s="137"/>
      <c r="C309" s="137"/>
      <c r="D309" s="137"/>
      <c r="E309" s="137"/>
      <c r="F309" s="137"/>
      <c r="G309" s="138"/>
      <c r="H309" s="137"/>
      <c r="I309" s="137"/>
      <c r="J309" s="137"/>
      <c r="K309" s="136"/>
      <c r="L309" s="136"/>
      <c r="M309" s="136"/>
      <c r="N309" s="136"/>
      <c r="O309" s="135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</row>
    <row r="310" spans="1:30" x14ac:dyDescent="0.25">
      <c r="A310" s="135"/>
      <c r="B310" s="137"/>
      <c r="C310" s="137"/>
      <c r="D310" s="137"/>
      <c r="E310" s="137"/>
      <c r="F310" s="137"/>
      <c r="G310" s="138"/>
      <c r="H310" s="137"/>
      <c r="I310" s="137"/>
      <c r="J310" s="137"/>
      <c r="K310" s="136"/>
      <c r="L310" s="136"/>
      <c r="M310" s="136"/>
      <c r="N310" s="136"/>
      <c r="O310" s="135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</row>
    <row r="311" spans="1:30" x14ac:dyDescent="0.25">
      <c r="A311" s="135"/>
      <c r="B311" s="137"/>
      <c r="C311" s="137"/>
      <c r="D311" s="137"/>
      <c r="E311" s="137"/>
      <c r="F311" s="137"/>
      <c r="G311" s="138"/>
      <c r="H311" s="137"/>
      <c r="I311" s="137"/>
      <c r="J311" s="137"/>
      <c r="K311" s="136"/>
      <c r="L311" s="136"/>
      <c r="M311" s="136"/>
      <c r="N311" s="136"/>
      <c r="O311" s="135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</row>
    <row r="312" spans="1:30" x14ac:dyDescent="0.25">
      <c r="A312" s="135"/>
      <c r="B312" s="137"/>
      <c r="C312" s="137"/>
      <c r="D312" s="137"/>
      <c r="E312" s="137"/>
      <c r="F312" s="137"/>
      <c r="G312" s="138"/>
      <c r="H312" s="137"/>
      <c r="I312" s="137"/>
      <c r="J312" s="137"/>
      <c r="K312" s="136"/>
      <c r="L312" s="136"/>
      <c r="M312" s="136"/>
      <c r="N312" s="136"/>
      <c r="O312" s="135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</row>
    <row r="313" spans="1:30" x14ac:dyDescent="0.25">
      <c r="A313" s="135"/>
      <c r="B313" s="137"/>
      <c r="C313" s="137"/>
      <c r="D313" s="137"/>
      <c r="E313" s="137"/>
      <c r="F313" s="137"/>
      <c r="G313" s="138"/>
      <c r="H313" s="137"/>
      <c r="I313" s="137"/>
      <c r="J313" s="137"/>
      <c r="K313" s="136"/>
      <c r="L313" s="136"/>
      <c r="M313" s="136"/>
      <c r="N313" s="136"/>
      <c r="O313" s="135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</row>
    <row r="314" spans="1:30" x14ac:dyDescent="0.25">
      <c r="A314" s="135"/>
      <c r="B314" s="137"/>
      <c r="C314" s="137"/>
      <c r="D314" s="137"/>
      <c r="E314" s="137"/>
      <c r="F314" s="137"/>
      <c r="G314" s="138"/>
      <c r="H314" s="137"/>
      <c r="I314" s="137"/>
      <c r="J314" s="137"/>
      <c r="K314" s="136"/>
      <c r="L314" s="136"/>
      <c r="M314" s="136"/>
      <c r="N314" s="136"/>
      <c r="O314" s="135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</row>
    <row r="315" spans="1:30" x14ac:dyDescent="0.25">
      <c r="A315" s="135"/>
      <c r="B315" s="137"/>
      <c r="C315" s="137"/>
      <c r="D315" s="137"/>
      <c r="E315" s="137"/>
      <c r="F315" s="137"/>
      <c r="G315" s="138"/>
      <c r="H315" s="137"/>
      <c r="I315" s="137"/>
      <c r="J315" s="137"/>
      <c r="K315" s="136"/>
      <c r="L315" s="136"/>
      <c r="M315" s="136"/>
      <c r="N315" s="136"/>
      <c r="O315" s="135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</row>
    <row r="316" spans="1:30" x14ac:dyDescent="0.25">
      <c r="A316" s="135"/>
      <c r="B316" s="137"/>
      <c r="C316" s="137"/>
      <c r="D316" s="137"/>
      <c r="E316" s="137"/>
      <c r="F316" s="137"/>
      <c r="G316" s="138"/>
      <c r="H316" s="137"/>
      <c r="I316" s="137"/>
      <c r="J316" s="137"/>
      <c r="K316" s="136"/>
      <c r="L316" s="136"/>
      <c r="M316" s="136"/>
      <c r="N316" s="136"/>
      <c r="O316" s="135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</row>
    <row r="317" spans="1:30" x14ac:dyDescent="0.25">
      <c r="A317" s="135"/>
      <c r="B317" s="137"/>
      <c r="C317" s="137"/>
      <c r="D317" s="137"/>
      <c r="E317" s="137"/>
      <c r="F317" s="137"/>
      <c r="G317" s="138"/>
      <c r="H317" s="137"/>
      <c r="I317" s="137"/>
      <c r="J317" s="137"/>
      <c r="K317" s="136"/>
      <c r="L317" s="136"/>
      <c r="M317" s="136"/>
      <c r="N317" s="136"/>
      <c r="O317" s="135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</row>
    <row r="318" spans="1:30" x14ac:dyDescent="0.25">
      <c r="A318" s="135"/>
      <c r="B318" s="137"/>
      <c r="C318" s="137"/>
      <c r="D318" s="137"/>
      <c r="E318" s="137"/>
      <c r="F318" s="137"/>
      <c r="G318" s="138"/>
      <c r="H318" s="137"/>
      <c r="I318" s="137"/>
      <c r="J318" s="137"/>
      <c r="K318" s="136"/>
      <c r="L318" s="136"/>
      <c r="M318" s="136"/>
      <c r="N318" s="136"/>
      <c r="O318" s="135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</row>
    <row r="319" spans="1:30" x14ac:dyDescent="0.25">
      <c r="A319" s="135"/>
      <c r="B319" s="137"/>
      <c r="C319" s="137"/>
      <c r="D319" s="137"/>
      <c r="E319" s="137"/>
      <c r="F319" s="137"/>
      <c r="G319" s="138"/>
      <c r="H319" s="137"/>
      <c r="I319" s="137"/>
      <c r="J319" s="137"/>
      <c r="K319" s="136"/>
      <c r="L319" s="136"/>
      <c r="M319" s="136"/>
      <c r="N319" s="136"/>
      <c r="O319" s="135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</row>
    <row r="320" spans="1:30" x14ac:dyDescent="0.25">
      <c r="A320" s="135"/>
      <c r="B320" s="137"/>
      <c r="C320" s="137"/>
      <c r="D320" s="137"/>
      <c r="E320" s="137"/>
      <c r="F320" s="137"/>
      <c r="G320" s="138"/>
      <c r="H320" s="137"/>
      <c r="I320" s="137"/>
      <c r="J320" s="137"/>
      <c r="K320" s="136"/>
      <c r="L320" s="136"/>
      <c r="M320" s="136"/>
      <c r="N320" s="136"/>
      <c r="O320" s="135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</row>
    <row r="321" spans="1:30" x14ac:dyDescent="0.25">
      <c r="A321" s="135"/>
      <c r="B321" s="137"/>
      <c r="C321" s="137"/>
      <c r="D321" s="137"/>
      <c r="E321" s="137"/>
      <c r="F321" s="137"/>
      <c r="G321" s="138"/>
      <c r="H321" s="137"/>
      <c r="I321" s="137"/>
      <c r="J321" s="137"/>
      <c r="K321" s="136"/>
      <c r="L321" s="136"/>
      <c r="M321" s="136"/>
      <c r="N321" s="136"/>
      <c r="O321" s="135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</row>
    <row r="322" spans="1:30" x14ac:dyDescent="0.25">
      <c r="A322" s="135"/>
      <c r="B322" s="137"/>
      <c r="C322" s="137"/>
      <c r="D322" s="137"/>
      <c r="E322" s="137"/>
      <c r="F322" s="137"/>
      <c r="G322" s="138"/>
      <c r="H322" s="137"/>
      <c r="I322" s="137"/>
      <c r="J322" s="137"/>
      <c r="K322" s="136"/>
      <c r="L322" s="136"/>
      <c r="M322" s="136"/>
      <c r="N322" s="136"/>
      <c r="O322" s="135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</row>
    <row r="323" spans="1:30" x14ac:dyDescent="0.25">
      <c r="A323" s="135"/>
      <c r="B323" s="137"/>
      <c r="C323" s="137"/>
      <c r="D323" s="137"/>
      <c r="E323" s="137"/>
      <c r="F323" s="137"/>
      <c r="G323" s="138"/>
      <c r="H323" s="137"/>
      <c r="I323" s="137"/>
      <c r="J323" s="137"/>
      <c r="K323" s="136"/>
      <c r="L323" s="136"/>
      <c r="M323" s="136"/>
      <c r="N323" s="136"/>
      <c r="O323" s="135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</row>
    <row r="324" spans="1:30" x14ac:dyDescent="0.25">
      <c r="A324" s="135"/>
      <c r="B324" s="137"/>
      <c r="C324" s="137"/>
      <c r="D324" s="137"/>
      <c r="E324" s="137"/>
      <c r="F324" s="137"/>
      <c r="G324" s="138"/>
      <c r="H324" s="137"/>
      <c r="I324" s="137"/>
      <c r="J324" s="137"/>
      <c r="K324" s="136"/>
      <c r="L324" s="136"/>
      <c r="M324" s="136"/>
      <c r="N324" s="136"/>
      <c r="O324" s="135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</row>
    <row r="325" spans="1:30" x14ac:dyDescent="0.25">
      <c r="A325" s="135"/>
      <c r="B325" s="137"/>
      <c r="C325" s="137"/>
      <c r="D325" s="137"/>
      <c r="E325" s="137"/>
      <c r="F325" s="137"/>
      <c r="G325" s="138"/>
      <c r="H325" s="137"/>
      <c r="I325" s="137"/>
      <c r="J325" s="137"/>
      <c r="K325" s="136"/>
      <c r="L325" s="136"/>
      <c r="M325" s="136"/>
      <c r="N325" s="136"/>
      <c r="O325" s="135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</row>
    <row r="326" spans="1:30" x14ac:dyDescent="0.25">
      <c r="A326" s="135"/>
      <c r="B326" s="137"/>
      <c r="C326" s="137"/>
      <c r="D326" s="137"/>
      <c r="E326" s="137"/>
      <c r="F326" s="137"/>
      <c r="G326" s="138"/>
      <c r="H326" s="137"/>
      <c r="I326" s="137"/>
      <c r="J326" s="137"/>
      <c r="K326" s="136"/>
      <c r="L326" s="136"/>
      <c r="M326" s="136"/>
      <c r="N326" s="136"/>
      <c r="O326" s="135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</row>
    <row r="327" spans="1:30" x14ac:dyDescent="0.25">
      <c r="A327" s="135"/>
      <c r="B327" s="137"/>
      <c r="C327" s="137"/>
      <c r="D327" s="137"/>
      <c r="E327" s="137"/>
      <c r="F327" s="137"/>
      <c r="G327" s="138"/>
      <c r="H327" s="137"/>
      <c r="I327" s="137"/>
      <c r="J327" s="137"/>
      <c r="K327" s="136"/>
      <c r="L327" s="136"/>
      <c r="M327" s="136"/>
      <c r="N327" s="136"/>
      <c r="O327" s="135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</row>
    <row r="328" spans="1:30" x14ac:dyDescent="0.25">
      <c r="A328" s="135"/>
      <c r="B328" s="137"/>
      <c r="C328" s="137"/>
      <c r="D328" s="137"/>
      <c r="E328" s="137"/>
      <c r="F328" s="137"/>
      <c r="G328" s="138"/>
      <c r="H328" s="137"/>
      <c r="I328" s="137"/>
      <c r="J328" s="137"/>
      <c r="K328" s="136"/>
      <c r="L328" s="136"/>
      <c r="M328" s="136"/>
      <c r="N328" s="136"/>
      <c r="O328" s="135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</row>
    <row r="329" spans="1:30" x14ac:dyDescent="0.25">
      <c r="A329" s="135"/>
      <c r="B329" s="137"/>
      <c r="C329" s="137"/>
      <c r="D329" s="137"/>
      <c r="E329" s="137"/>
      <c r="F329" s="137"/>
      <c r="G329" s="138"/>
      <c r="H329" s="137"/>
      <c r="I329" s="137"/>
      <c r="J329" s="137"/>
      <c r="K329" s="136"/>
      <c r="L329" s="136"/>
      <c r="M329" s="136"/>
      <c r="N329" s="136"/>
      <c r="O329" s="135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</row>
    <row r="330" spans="1:30" x14ac:dyDescent="0.25">
      <c r="A330" s="135"/>
      <c r="B330" s="137"/>
      <c r="C330" s="137"/>
      <c r="D330" s="137"/>
      <c r="E330" s="137"/>
      <c r="F330" s="137"/>
      <c r="G330" s="138"/>
      <c r="H330" s="137"/>
      <c r="I330" s="137"/>
      <c r="J330" s="137"/>
      <c r="K330" s="136"/>
      <c r="L330" s="136"/>
      <c r="M330" s="136"/>
      <c r="N330" s="136"/>
      <c r="O330" s="135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</row>
    <row r="331" spans="1:30" x14ac:dyDescent="0.25">
      <c r="A331" s="135"/>
      <c r="B331" s="137"/>
      <c r="C331" s="137"/>
      <c r="D331" s="137"/>
      <c r="E331" s="137"/>
      <c r="F331" s="137"/>
      <c r="G331" s="138"/>
      <c r="H331" s="137"/>
      <c r="I331" s="137"/>
      <c r="J331" s="137"/>
      <c r="K331" s="136"/>
      <c r="L331" s="136"/>
      <c r="M331" s="136"/>
      <c r="N331" s="136"/>
      <c r="O331" s="135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</row>
    <row r="332" spans="1:30" x14ac:dyDescent="0.25">
      <c r="A332" s="135"/>
      <c r="B332" s="137"/>
      <c r="C332" s="137"/>
      <c r="D332" s="137"/>
      <c r="E332" s="137"/>
      <c r="F332" s="137"/>
      <c r="G332" s="138"/>
      <c r="H332" s="137"/>
      <c r="I332" s="137"/>
      <c r="J332" s="137"/>
      <c r="K332" s="136"/>
      <c r="L332" s="136"/>
      <c r="M332" s="136"/>
      <c r="N332" s="136"/>
      <c r="O332" s="135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</row>
    <row r="333" spans="1:30" x14ac:dyDescent="0.25">
      <c r="A333" s="135"/>
      <c r="B333" s="137"/>
      <c r="C333" s="137"/>
      <c r="D333" s="137"/>
      <c r="E333" s="137"/>
      <c r="F333" s="137"/>
      <c r="G333" s="138"/>
      <c r="H333" s="137"/>
      <c r="I333" s="137"/>
      <c r="J333" s="137"/>
      <c r="K333" s="136"/>
      <c r="L333" s="136"/>
      <c r="M333" s="136"/>
      <c r="N333" s="136"/>
      <c r="O333" s="135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</row>
    <row r="334" spans="1:30" x14ac:dyDescent="0.25">
      <c r="A334" s="135"/>
      <c r="B334" s="137"/>
      <c r="C334" s="137"/>
      <c r="D334" s="137"/>
      <c r="E334" s="137"/>
      <c r="F334" s="137"/>
      <c r="G334" s="138"/>
      <c r="H334" s="137"/>
      <c r="I334" s="137"/>
      <c r="J334" s="137"/>
      <c r="K334" s="136"/>
      <c r="L334" s="136"/>
      <c r="M334" s="136"/>
      <c r="N334" s="136"/>
      <c r="O334" s="135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</row>
    <row r="335" spans="1:30" x14ac:dyDescent="0.25">
      <c r="A335" s="135"/>
      <c r="B335" s="137"/>
      <c r="C335" s="137"/>
      <c r="D335" s="137"/>
      <c r="E335" s="137"/>
      <c r="F335" s="137"/>
      <c r="G335" s="138"/>
      <c r="H335" s="137"/>
      <c r="I335" s="137"/>
      <c r="J335" s="137"/>
      <c r="K335" s="136"/>
      <c r="L335" s="136"/>
      <c r="M335" s="136"/>
      <c r="N335" s="136"/>
      <c r="O335" s="135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</row>
    <row r="336" spans="1:30" x14ac:dyDescent="0.25">
      <c r="A336" s="135"/>
      <c r="B336" s="137"/>
      <c r="C336" s="137"/>
      <c r="D336" s="137"/>
      <c r="E336" s="137"/>
      <c r="F336" s="137"/>
      <c r="G336" s="138"/>
      <c r="H336" s="137"/>
      <c r="I336" s="137"/>
      <c r="J336" s="137"/>
      <c r="K336" s="136"/>
      <c r="L336" s="136"/>
      <c r="M336" s="136"/>
      <c r="N336" s="136"/>
      <c r="O336" s="135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</row>
    <row r="337" spans="1:30" x14ac:dyDescent="0.25">
      <c r="A337" s="135"/>
      <c r="B337" s="137"/>
      <c r="C337" s="137"/>
      <c r="D337" s="137"/>
      <c r="E337" s="137"/>
      <c r="F337" s="137"/>
      <c r="G337" s="138"/>
      <c r="H337" s="137"/>
      <c r="I337" s="137"/>
      <c r="J337" s="137"/>
      <c r="K337" s="136"/>
      <c r="L337" s="136"/>
      <c r="M337" s="136"/>
      <c r="N337" s="136"/>
      <c r="O337" s="135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</row>
    <row r="338" spans="1:30" x14ac:dyDescent="0.25">
      <c r="A338" s="135"/>
      <c r="B338" s="137"/>
      <c r="C338" s="137"/>
      <c r="D338" s="137"/>
      <c r="E338" s="137"/>
      <c r="F338" s="137"/>
      <c r="G338" s="138"/>
      <c r="H338" s="137"/>
      <c r="I338" s="137"/>
      <c r="J338" s="137"/>
      <c r="K338" s="136"/>
      <c r="L338" s="136"/>
      <c r="M338" s="136"/>
      <c r="N338" s="136"/>
      <c r="O338" s="135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</row>
    <row r="339" spans="1:30" x14ac:dyDescent="0.25">
      <c r="A339" s="135"/>
      <c r="B339" s="137"/>
      <c r="C339" s="137"/>
      <c r="D339" s="137"/>
      <c r="E339" s="137"/>
      <c r="F339" s="137"/>
      <c r="G339" s="138"/>
      <c r="H339" s="137"/>
      <c r="I339" s="137"/>
      <c r="J339" s="137"/>
      <c r="K339" s="136"/>
      <c r="L339" s="136"/>
      <c r="M339" s="136"/>
      <c r="N339" s="136"/>
      <c r="O339" s="135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</row>
    <row r="340" spans="1:30" x14ac:dyDescent="0.25">
      <c r="A340" s="135"/>
      <c r="B340" s="137"/>
      <c r="C340" s="137"/>
      <c r="D340" s="137"/>
      <c r="E340" s="137"/>
      <c r="F340" s="137"/>
      <c r="G340" s="138"/>
      <c r="H340" s="137"/>
      <c r="I340" s="137"/>
      <c r="J340" s="137"/>
      <c r="K340" s="136"/>
      <c r="L340" s="136"/>
      <c r="M340" s="136"/>
      <c r="N340" s="136"/>
      <c r="O340" s="135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</row>
    <row r="341" spans="1:30" x14ac:dyDescent="0.25">
      <c r="A341" s="135"/>
      <c r="B341" s="137"/>
      <c r="C341" s="137"/>
      <c r="D341" s="137"/>
      <c r="E341" s="137"/>
      <c r="F341" s="137"/>
      <c r="G341" s="138"/>
      <c r="H341" s="137"/>
      <c r="I341" s="137"/>
      <c r="J341" s="137"/>
      <c r="K341" s="136"/>
      <c r="L341" s="136"/>
      <c r="M341" s="136"/>
      <c r="N341" s="136"/>
      <c r="O341" s="135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</row>
    <row r="342" spans="1:30" x14ac:dyDescent="0.25">
      <c r="A342" s="135"/>
      <c r="B342" s="137"/>
      <c r="C342" s="137"/>
      <c r="D342" s="137"/>
      <c r="E342" s="137"/>
      <c r="F342" s="137"/>
      <c r="G342" s="138"/>
      <c r="H342" s="137"/>
      <c r="I342" s="137"/>
      <c r="J342" s="137"/>
      <c r="K342" s="136"/>
      <c r="L342" s="136"/>
      <c r="M342" s="136"/>
      <c r="N342" s="136"/>
      <c r="O342" s="135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</row>
    <row r="343" spans="1:30" x14ac:dyDescent="0.25">
      <c r="A343" s="135"/>
      <c r="B343" s="137"/>
      <c r="C343" s="137"/>
      <c r="D343" s="137"/>
      <c r="E343" s="137"/>
      <c r="F343" s="137"/>
      <c r="G343" s="138"/>
      <c r="H343" s="137"/>
      <c r="I343" s="137"/>
      <c r="J343" s="137"/>
      <c r="K343" s="136"/>
      <c r="L343" s="136"/>
      <c r="M343" s="136"/>
      <c r="N343" s="136"/>
      <c r="O343" s="135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</row>
    <row r="344" spans="1:30" x14ac:dyDescent="0.25">
      <c r="A344" s="135"/>
      <c r="B344" s="137"/>
      <c r="C344" s="137"/>
      <c r="D344" s="137"/>
      <c r="E344" s="137"/>
      <c r="F344" s="137"/>
      <c r="G344" s="138"/>
      <c r="H344" s="137"/>
      <c r="I344" s="137"/>
      <c r="J344" s="137"/>
      <c r="K344" s="136"/>
      <c r="L344" s="136"/>
      <c r="M344" s="136"/>
      <c r="N344" s="136"/>
      <c r="O344" s="135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</row>
    <row r="345" spans="1:30" x14ac:dyDescent="0.25">
      <c r="A345" s="135"/>
      <c r="B345" s="137"/>
      <c r="C345" s="137"/>
      <c r="D345" s="137"/>
      <c r="E345" s="137"/>
      <c r="F345" s="137"/>
      <c r="G345" s="138"/>
      <c r="H345" s="137"/>
      <c r="I345" s="137"/>
      <c r="J345" s="137"/>
      <c r="K345" s="136"/>
      <c r="L345" s="136"/>
      <c r="M345" s="136"/>
      <c r="N345" s="136"/>
      <c r="O345" s="135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</row>
    <row r="346" spans="1:30" x14ac:dyDescent="0.25">
      <c r="A346" s="135"/>
      <c r="B346" s="137"/>
      <c r="C346" s="137"/>
      <c r="D346" s="137"/>
      <c r="E346" s="137"/>
      <c r="F346" s="137"/>
      <c r="G346" s="138"/>
      <c r="H346" s="137"/>
      <c r="I346" s="137"/>
      <c r="J346" s="137"/>
      <c r="K346" s="136"/>
      <c r="L346" s="136"/>
      <c r="M346" s="136"/>
      <c r="N346" s="136"/>
      <c r="O346" s="135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</row>
    <row r="347" spans="1:30" x14ac:dyDescent="0.25">
      <c r="A347" s="135"/>
      <c r="B347" s="137"/>
      <c r="C347" s="137"/>
      <c r="D347" s="137"/>
      <c r="E347" s="137"/>
      <c r="F347" s="137"/>
      <c r="G347" s="138"/>
      <c r="H347" s="137"/>
      <c r="I347" s="137"/>
      <c r="J347" s="137"/>
      <c r="K347" s="136"/>
      <c r="L347" s="136"/>
      <c r="M347" s="136"/>
      <c r="N347" s="136"/>
      <c r="O347" s="135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</row>
    <row r="348" spans="1:30" x14ac:dyDescent="0.25">
      <c r="A348" s="135"/>
      <c r="B348" s="137"/>
      <c r="C348" s="137"/>
      <c r="D348" s="137"/>
      <c r="E348" s="137"/>
      <c r="F348" s="137"/>
      <c r="G348" s="138"/>
      <c r="H348" s="137"/>
      <c r="I348" s="137"/>
      <c r="J348" s="137"/>
      <c r="K348" s="136"/>
      <c r="L348" s="136"/>
      <c r="M348" s="136"/>
      <c r="N348" s="136"/>
      <c r="O348" s="135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</row>
    <row r="349" spans="1:30" x14ac:dyDescent="0.25">
      <c r="A349" s="135"/>
      <c r="B349" s="137"/>
      <c r="C349" s="137"/>
      <c r="D349" s="137"/>
      <c r="E349" s="137"/>
      <c r="F349" s="137"/>
      <c r="G349" s="138"/>
      <c r="H349" s="137"/>
      <c r="I349" s="137"/>
      <c r="J349" s="137"/>
      <c r="K349" s="136"/>
      <c r="L349" s="136"/>
      <c r="M349" s="136"/>
      <c r="N349" s="136"/>
      <c r="O349" s="135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</row>
    <row r="350" spans="1:30" x14ac:dyDescent="0.25">
      <c r="A350" s="135"/>
      <c r="B350" s="137"/>
      <c r="C350" s="137"/>
      <c r="D350" s="137"/>
      <c r="E350" s="137"/>
      <c r="F350" s="137"/>
      <c r="G350" s="138"/>
      <c r="H350" s="137"/>
      <c r="I350" s="137"/>
      <c r="J350" s="137"/>
      <c r="K350" s="136"/>
      <c r="L350" s="136"/>
      <c r="M350" s="136"/>
      <c r="N350" s="136"/>
      <c r="O350" s="135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</row>
    <row r="351" spans="1:30" x14ac:dyDescent="0.25">
      <c r="A351" s="135"/>
      <c r="B351" s="137"/>
      <c r="C351" s="137"/>
      <c r="D351" s="137"/>
      <c r="E351" s="137"/>
      <c r="F351" s="137"/>
      <c r="G351" s="138"/>
      <c r="H351" s="137"/>
      <c r="I351" s="137"/>
      <c r="J351" s="137"/>
      <c r="K351" s="136"/>
      <c r="L351" s="136"/>
      <c r="M351" s="136"/>
      <c r="N351" s="136"/>
      <c r="O351" s="135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</row>
    <row r="352" spans="1:30" x14ac:dyDescent="0.25">
      <c r="A352" s="135"/>
      <c r="B352" s="137"/>
      <c r="C352" s="137"/>
      <c r="D352" s="137"/>
      <c r="E352" s="137"/>
      <c r="F352" s="137"/>
      <c r="G352" s="138"/>
      <c r="H352" s="137"/>
      <c r="I352" s="137"/>
      <c r="J352" s="137"/>
      <c r="K352" s="136"/>
      <c r="L352" s="136"/>
      <c r="M352" s="136"/>
      <c r="N352" s="136"/>
      <c r="O352" s="135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</row>
    <row r="353" spans="1:30" x14ac:dyDescent="0.25">
      <c r="A353" s="135"/>
      <c r="B353" s="137"/>
      <c r="C353" s="137"/>
      <c r="D353" s="137"/>
      <c r="E353" s="137"/>
      <c r="F353" s="137"/>
      <c r="G353" s="138"/>
      <c r="H353" s="137"/>
      <c r="I353" s="137"/>
      <c r="J353" s="137"/>
      <c r="K353" s="136"/>
      <c r="L353" s="136"/>
      <c r="M353" s="136"/>
      <c r="N353" s="136"/>
      <c r="O353" s="135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</row>
    <row r="354" spans="1:30" x14ac:dyDescent="0.25">
      <c r="A354" s="135"/>
      <c r="B354" s="137"/>
      <c r="C354" s="137"/>
      <c r="D354" s="137"/>
      <c r="E354" s="137"/>
      <c r="F354" s="137"/>
      <c r="G354" s="138"/>
      <c r="H354" s="137"/>
      <c r="I354" s="137"/>
      <c r="J354" s="137"/>
      <c r="K354" s="136"/>
      <c r="L354" s="136"/>
      <c r="M354" s="136"/>
      <c r="N354" s="136"/>
      <c r="O354" s="135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</row>
    <row r="355" spans="1:30" x14ac:dyDescent="0.25">
      <c r="A355" s="135"/>
      <c r="B355" s="137"/>
      <c r="C355" s="137"/>
      <c r="D355" s="137"/>
      <c r="E355" s="137"/>
      <c r="F355" s="137"/>
      <c r="G355" s="138"/>
      <c r="H355" s="137"/>
      <c r="I355" s="137"/>
      <c r="J355" s="137"/>
      <c r="K355" s="136"/>
      <c r="L355" s="136"/>
      <c r="M355" s="136"/>
      <c r="N355" s="136"/>
      <c r="O355" s="135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</row>
    <row r="356" spans="1:30" x14ac:dyDescent="0.25">
      <c r="A356" s="135"/>
      <c r="B356" s="137"/>
      <c r="C356" s="137"/>
      <c r="D356" s="137"/>
      <c r="E356" s="137"/>
      <c r="F356" s="137"/>
      <c r="G356" s="138"/>
      <c r="H356" s="137"/>
      <c r="I356" s="137"/>
      <c r="J356" s="137"/>
      <c r="K356" s="136"/>
      <c r="L356" s="136"/>
      <c r="M356" s="136"/>
      <c r="N356" s="136"/>
      <c r="O356" s="135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</row>
    <row r="357" spans="1:30" x14ac:dyDescent="0.25">
      <c r="A357" s="135"/>
      <c r="B357" s="137"/>
      <c r="C357" s="137"/>
      <c r="D357" s="137"/>
      <c r="E357" s="137"/>
      <c r="F357" s="137"/>
      <c r="G357" s="138"/>
      <c r="H357" s="137"/>
      <c r="I357" s="137"/>
      <c r="J357" s="137"/>
      <c r="K357" s="136"/>
      <c r="L357" s="136"/>
      <c r="M357" s="136"/>
      <c r="N357" s="136"/>
      <c r="O357" s="135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</row>
    <row r="358" spans="1:30" x14ac:dyDescent="0.25">
      <c r="A358" s="135"/>
      <c r="B358" s="137"/>
      <c r="C358" s="137"/>
      <c r="D358" s="137"/>
      <c r="E358" s="137"/>
      <c r="F358" s="137"/>
      <c r="G358" s="138"/>
      <c r="H358" s="137"/>
      <c r="I358" s="137"/>
      <c r="J358" s="137"/>
      <c r="K358" s="136"/>
      <c r="L358" s="136"/>
      <c r="M358" s="136"/>
      <c r="N358" s="136"/>
      <c r="O358" s="135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</row>
    <row r="359" spans="1:30" x14ac:dyDescent="0.25">
      <c r="A359" s="135"/>
      <c r="B359" s="137"/>
      <c r="C359" s="137"/>
      <c r="D359" s="137"/>
      <c r="E359" s="137"/>
      <c r="F359" s="137"/>
      <c r="G359" s="138"/>
      <c r="H359" s="137"/>
      <c r="I359" s="137"/>
      <c r="J359" s="137"/>
      <c r="K359" s="136"/>
      <c r="L359" s="136"/>
      <c r="M359" s="136"/>
      <c r="N359" s="136"/>
      <c r="O359" s="135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</row>
    <row r="360" spans="1:30" x14ac:dyDescent="0.25">
      <c r="A360" s="135"/>
      <c r="B360" s="137"/>
      <c r="C360" s="137"/>
      <c r="D360" s="137"/>
      <c r="E360" s="137"/>
      <c r="F360" s="137"/>
      <c r="G360" s="138"/>
      <c r="H360" s="137"/>
      <c r="I360" s="137"/>
      <c r="J360" s="137"/>
      <c r="K360" s="136"/>
      <c r="L360" s="136"/>
      <c r="M360" s="136"/>
      <c r="N360" s="136"/>
      <c r="O360" s="135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</row>
    <row r="361" spans="1:30" x14ac:dyDescent="0.25">
      <c r="A361" s="135"/>
      <c r="B361" s="137"/>
      <c r="C361" s="137"/>
      <c r="D361" s="137"/>
      <c r="E361" s="137"/>
      <c r="F361" s="137"/>
      <c r="G361" s="138"/>
      <c r="H361" s="137"/>
      <c r="I361" s="137"/>
      <c r="J361" s="137"/>
      <c r="K361" s="136"/>
      <c r="L361" s="136"/>
      <c r="M361" s="136"/>
      <c r="N361" s="136"/>
      <c r="O361" s="135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</row>
    <row r="362" spans="1:30" x14ac:dyDescent="0.25">
      <c r="A362" s="135"/>
      <c r="B362" s="137"/>
      <c r="C362" s="137"/>
      <c r="D362" s="137"/>
      <c r="E362" s="137"/>
      <c r="F362" s="137"/>
      <c r="G362" s="138"/>
      <c r="H362" s="137"/>
      <c r="I362" s="137"/>
      <c r="J362" s="137"/>
      <c r="K362" s="136"/>
      <c r="L362" s="136"/>
      <c r="M362" s="136"/>
      <c r="N362" s="136"/>
      <c r="O362" s="135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</row>
    <row r="363" spans="1:30" x14ac:dyDescent="0.25">
      <c r="A363" s="135"/>
      <c r="B363" s="137"/>
      <c r="C363" s="137"/>
      <c r="D363" s="137"/>
      <c r="E363" s="137"/>
      <c r="F363" s="137"/>
      <c r="G363" s="138"/>
      <c r="H363" s="137"/>
      <c r="I363" s="137"/>
      <c r="J363" s="137"/>
      <c r="K363" s="136"/>
      <c r="L363" s="136"/>
      <c r="M363" s="136"/>
      <c r="N363" s="136"/>
      <c r="O363" s="135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</row>
    <row r="364" spans="1:30" x14ac:dyDescent="0.25">
      <c r="A364" s="135"/>
      <c r="B364" s="137"/>
      <c r="C364" s="137"/>
      <c r="D364" s="137"/>
      <c r="E364" s="137"/>
      <c r="F364" s="137"/>
      <c r="G364" s="138"/>
      <c r="H364" s="137"/>
      <c r="I364" s="137"/>
      <c r="J364" s="137"/>
      <c r="K364" s="136"/>
      <c r="L364" s="136"/>
      <c r="M364" s="136"/>
      <c r="N364" s="136"/>
      <c r="O364" s="135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</row>
    <row r="365" spans="1:30" x14ac:dyDescent="0.25">
      <c r="A365" s="135"/>
      <c r="B365" s="137"/>
      <c r="C365" s="137"/>
      <c r="D365" s="137"/>
      <c r="E365" s="137"/>
      <c r="F365" s="137"/>
      <c r="G365" s="138"/>
      <c r="H365" s="137"/>
      <c r="I365" s="137"/>
      <c r="J365" s="137"/>
      <c r="K365" s="136"/>
      <c r="L365" s="136"/>
      <c r="M365" s="136"/>
      <c r="N365" s="136"/>
      <c r="O365" s="135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</row>
    <row r="366" spans="1:30" x14ac:dyDescent="0.25">
      <c r="A366" s="135"/>
      <c r="B366" s="137"/>
      <c r="C366" s="137"/>
      <c r="D366" s="137"/>
      <c r="E366" s="137"/>
      <c r="F366" s="137"/>
      <c r="G366" s="138"/>
      <c r="H366" s="137"/>
      <c r="I366" s="137"/>
      <c r="J366" s="137"/>
      <c r="K366" s="136"/>
      <c r="L366" s="136"/>
      <c r="M366" s="136"/>
      <c r="N366" s="136"/>
      <c r="O366" s="135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</row>
    <row r="367" spans="1:30" x14ac:dyDescent="0.25">
      <c r="A367" s="135"/>
      <c r="B367" s="137"/>
      <c r="C367" s="137"/>
      <c r="D367" s="137"/>
      <c r="E367" s="137"/>
      <c r="F367" s="137"/>
      <c r="G367" s="138"/>
      <c r="H367" s="137"/>
      <c r="I367" s="137"/>
      <c r="J367" s="137"/>
      <c r="K367" s="136"/>
      <c r="L367" s="136"/>
      <c r="M367" s="136"/>
      <c r="N367" s="136"/>
      <c r="O367" s="135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</row>
    <row r="368" spans="1:30" x14ac:dyDescent="0.25">
      <c r="A368" s="135"/>
      <c r="B368" s="137"/>
      <c r="C368" s="137"/>
      <c r="D368" s="137"/>
      <c r="E368" s="137"/>
      <c r="F368" s="137"/>
      <c r="G368" s="138"/>
      <c r="H368" s="137"/>
      <c r="I368" s="137"/>
      <c r="J368" s="137"/>
      <c r="K368" s="136"/>
      <c r="L368" s="136"/>
      <c r="M368" s="136"/>
      <c r="N368" s="136"/>
      <c r="O368" s="135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</row>
    <row r="369" spans="1:30" x14ac:dyDescent="0.25">
      <c r="A369" s="135"/>
      <c r="B369" s="137"/>
      <c r="C369" s="137"/>
      <c r="D369" s="137"/>
      <c r="E369" s="137"/>
      <c r="F369" s="137"/>
      <c r="G369" s="138"/>
      <c r="H369" s="137"/>
      <c r="I369" s="137"/>
      <c r="J369" s="137"/>
      <c r="K369" s="136"/>
      <c r="L369" s="136"/>
      <c r="M369" s="136"/>
      <c r="N369" s="136"/>
      <c r="O369" s="135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</row>
    <row r="370" spans="1:30" x14ac:dyDescent="0.25">
      <c r="A370" s="135"/>
      <c r="B370" s="137"/>
      <c r="C370" s="137"/>
      <c r="D370" s="137"/>
      <c r="E370" s="137"/>
      <c r="F370" s="137"/>
      <c r="G370" s="138"/>
      <c r="H370" s="137"/>
      <c r="I370" s="137"/>
      <c r="J370" s="137"/>
      <c r="K370" s="136"/>
      <c r="L370" s="136"/>
      <c r="M370" s="136"/>
      <c r="N370" s="136"/>
      <c r="O370" s="135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</row>
    <row r="371" spans="1:30" x14ac:dyDescent="0.25">
      <c r="A371" s="135"/>
      <c r="B371" s="137"/>
      <c r="C371" s="137"/>
      <c r="D371" s="137"/>
      <c r="E371" s="137"/>
      <c r="F371" s="137"/>
      <c r="G371" s="138"/>
      <c r="H371" s="137"/>
      <c r="I371" s="137"/>
      <c r="J371" s="137"/>
      <c r="K371" s="136"/>
      <c r="L371" s="136"/>
      <c r="M371" s="136"/>
      <c r="N371" s="136"/>
      <c r="O371" s="135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</row>
    <row r="372" spans="1:30" x14ac:dyDescent="0.25">
      <c r="A372" s="135"/>
      <c r="B372" s="137"/>
      <c r="C372" s="137"/>
      <c r="D372" s="137"/>
      <c r="E372" s="137"/>
      <c r="F372" s="137"/>
      <c r="G372" s="138"/>
      <c r="H372" s="137"/>
      <c r="I372" s="137"/>
      <c r="J372" s="137"/>
      <c r="K372" s="136"/>
      <c r="L372" s="136"/>
      <c r="M372" s="136"/>
      <c r="N372" s="136"/>
      <c r="O372" s="135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</row>
  </sheetData>
  <autoFilter ref="B15:AD195" xr:uid="{00000000-0001-0000-0000-000000000000}"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37">
    <mergeCell ref="E203:F203"/>
    <mergeCell ref="E208:F208"/>
    <mergeCell ref="E209:F209"/>
    <mergeCell ref="D206:E206"/>
    <mergeCell ref="E197:F197"/>
    <mergeCell ref="E199:F199"/>
    <mergeCell ref="E200:F200"/>
    <mergeCell ref="E204:F204"/>
    <mergeCell ref="E205:F205"/>
    <mergeCell ref="E201:F201"/>
    <mergeCell ref="E202:F202"/>
    <mergeCell ref="E198:F198"/>
    <mergeCell ref="B213:C222"/>
    <mergeCell ref="B212:C212"/>
    <mergeCell ref="B208:C210"/>
    <mergeCell ref="B197:C205"/>
    <mergeCell ref="B206:C206"/>
    <mergeCell ref="G12:H12"/>
    <mergeCell ref="G13:H13"/>
    <mergeCell ref="C9:D9"/>
    <mergeCell ref="F11:H11"/>
    <mergeCell ref="P15:AD15"/>
    <mergeCell ref="B1:C1"/>
    <mergeCell ref="D1:E1"/>
    <mergeCell ref="F1:G1"/>
    <mergeCell ref="H1:J1"/>
    <mergeCell ref="B4:C4"/>
    <mergeCell ref="F4:J4"/>
    <mergeCell ref="B2:C2"/>
    <mergeCell ref="F2:J2"/>
    <mergeCell ref="B3:C3"/>
    <mergeCell ref="F3:J3"/>
    <mergeCell ref="F6:J6"/>
    <mergeCell ref="B7:C7"/>
    <mergeCell ref="F7:J7"/>
    <mergeCell ref="B8:C8"/>
    <mergeCell ref="B6:C6"/>
  </mergeCells>
  <phoneticPr fontId="34" type="noConversion"/>
  <conditionalFormatting sqref="E200:F200">
    <cfRule type="iconSet" priority="6">
      <iconSet iconSet="3Flags">
        <cfvo type="percent" val="0"/>
        <cfvo type="num" val="5000"/>
        <cfvo type="num" val="10000"/>
      </iconSet>
    </cfRule>
  </conditionalFormatting>
  <dataValidations count="12">
    <dataValidation type="list" allowBlank="1" showInputMessage="1" showErrorMessage="1" sqref="E110:E114" xr:uid="{00000000-0002-0000-0000-000001000000}">
      <formula1>"0,6,8,12,24,36,48,60,72,84,96,108,120,132,144,156,168,180"</formula1>
    </dataValidation>
    <dataValidation type="list" allowBlank="1" showInputMessage="1" showErrorMessage="1" sqref="D8" xr:uid="{00000000-0002-0000-0000-000003000000}">
      <formula1>"A VISTA, A PRAZO"</formula1>
    </dataValidation>
    <dataValidation type="list" allowBlank="1" showInputMessage="1" showErrorMessage="1" sqref="E185 E161:E164 E151 E153:E155 E143:E146 E166:E169 E171:E175 E177:E180 E182:E183 E157:E159 E148" xr:uid="{00000000-0002-0000-0000-000005000000}">
      <formula1>"0,2,4,6,8,10,12,14,16,18,20,22,24,26,28,30"</formula1>
    </dataValidation>
    <dataValidation type="list" allowBlank="1" showInputMessage="1" showErrorMessage="1" sqref="E101:E103 E127:E129 E107 E131 E133 E138:E141 E116:E125 E81:E85 E87:E99" xr:uid="{00000000-0002-0000-0000-000006000000}">
      <formula1>"0,12,24,36,48,60,72,84,96,108,120,132,144,156,168,180"</formula1>
    </dataValidation>
    <dataValidation type="list" allowBlank="1" showInputMessage="1" showErrorMessage="1" sqref="E132 E78:E79 E187:E192" xr:uid="{00000000-0002-0000-0000-000007000000}">
      <formula1>"0,6,12,18,24,30,36,42,48,54,60,66,72,78,84,90"</formula1>
    </dataValidation>
    <dataValidation type="list" allowBlank="1" showInputMessage="1" showErrorMessage="1" sqref="E51:E53 E42:E49 E55:E57 E59:E67 E32:E40 E69:E76 E29:E30 E17:E27" xr:uid="{00000000-0002-0000-0000-000008000000}">
      <formula1>"0,4,6,8,10,12,14,16,18,20,22,24,26,28,30,32,34,36,38,40,42,44,46,48,50,52,54,56,58,60"</formula1>
    </dataValidation>
    <dataValidation type="list" allowBlank="1" showInputMessage="1" showErrorMessage="1" sqref="E104:E105" xr:uid="{2EFABFAD-8273-4A3F-9FEB-5C1FD67BB03B}">
      <formula1>"0,12,24,36,48"</formula1>
    </dataValidation>
    <dataValidation type="list" allowBlank="1" showInputMessage="1" showErrorMessage="1" sqref="E106" xr:uid="{7557ED10-CDA8-4306-91A4-A3416FB7AAF1}">
      <formula1>"0,12,24,36,48,60,72,84,96"</formula1>
    </dataValidation>
    <dataValidation showInputMessage="1" showErrorMessage="1" sqref="E193" xr:uid="{864711D8-DEBD-47D4-A50D-5308241C2D47}"/>
    <dataValidation type="list" allowBlank="1" showInputMessage="1" showErrorMessage="1" sqref="E195" xr:uid="{3FC55BE4-BB68-4949-B65C-F20369D62F40}">
      <formula1>"0,1,2,3,4,5,6,7,8,9,10,11,12,13,14,15,16,17,18,19,20"</formula1>
    </dataValidation>
    <dataValidation type="list" allowBlank="1" showInputMessage="1" showErrorMessage="1" sqref="E108" xr:uid="{332E168C-601D-49AD-B33E-98610D19BF13}">
      <formula1>"0,24,36,48,60,72,84,96,108,120,132,144,156,168,180"</formula1>
    </dataValidation>
    <dataValidation type="list" allowBlank="1" showInputMessage="1" showErrorMessage="1" sqref="E135:E136 E149 E194" xr:uid="{07C35CE2-9C36-436E-830D-10670F791530}">
      <formula1>"0,4,8,12,16,20,24,28,32,36,40,44,48"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FFC000"/>
    <pageSetUpPr fitToPage="1"/>
  </sheetPr>
  <dimension ref="A1:H209"/>
  <sheetViews>
    <sheetView topLeftCell="B1" zoomScale="118" zoomScaleNormal="118" workbookViewId="0">
      <selection activeCell="G22" sqref="G22"/>
    </sheetView>
  </sheetViews>
  <sheetFormatPr defaultColWidth="8.85546875" defaultRowHeight="15" x14ac:dyDescent="0.25"/>
  <cols>
    <col min="1" max="1" width="20" bestFit="1" customWidth="1"/>
    <col min="2" max="2" width="96.85546875" bestFit="1" customWidth="1"/>
    <col min="3" max="3" width="34.5703125" customWidth="1"/>
    <col min="4" max="4" width="7.5703125" bestFit="1" customWidth="1"/>
    <col min="5" max="5" width="17.7109375" customWidth="1"/>
    <col min="6" max="6" width="23.42578125" bestFit="1" customWidth="1"/>
    <col min="7" max="7" width="20" style="28" bestFit="1" customWidth="1"/>
    <col min="8" max="8" width="13.42578125" style="28" customWidth="1"/>
    <col min="9" max="9" width="7.7109375" bestFit="1" customWidth="1"/>
    <col min="10" max="10" width="17.28515625" customWidth="1"/>
    <col min="12" max="12" width="146.85546875" customWidth="1"/>
  </cols>
  <sheetData>
    <row r="1" spans="1:8" ht="15" customHeight="1" thickBot="1" x14ac:dyDescent="0.3">
      <c r="A1" s="69"/>
      <c r="B1" s="68" t="s">
        <v>200</v>
      </c>
      <c r="C1" s="41"/>
      <c r="D1" s="41"/>
      <c r="E1" s="41"/>
      <c r="F1" s="41"/>
      <c r="G1" s="339"/>
      <c r="H1" s="339"/>
    </row>
    <row r="2" spans="1:8" ht="15" customHeight="1" x14ac:dyDescent="0.25">
      <c r="D2" s="281"/>
      <c r="E2" s="281"/>
      <c r="F2" s="281"/>
    </row>
    <row r="3" spans="1:8" ht="15" hidden="1" customHeight="1" x14ac:dyDescent="0.25">
      <c r="A3" s="16" t="s">
        <v>12</v>
      </c>
      <c r="B3" s="17" t="s">
        <v>14</v>
      </c>
      <c r="C3" s="18" t="s">
        <v>201</v>
      </c>
      <c r="D3" s="19"/>
      <c r="E3" s="19"/>
      <c r="F3" s="19" t="s">
        <v>202</v>
      </c>
      <c r="G3" s="340" t="s">
        <v>203</v>
      </c>
      <c r="H3" s="341" t="s">
        <v>204</v>
      </c>
    </row>
    <row r="4" spans="1:8" ht="15" hidden="1" customHeight="1" x14ac:dyDescent="0.25">
      <c r="A4" s="20">
        <v>78006150087</v>
      </c>
      <c r="B4" s="21" t="s">
        <v>205</v>
      </c>
      <c r="C4" s="22">
        <v>1060</v>
      </c>
      <c r="D4" s="23"/>
      <c r="E4" s="23"/>
      <c r="F4" s="23">
        <v>2070.498</v>
      </c>
      <c r="G4" s="342">
        <v>1863.4482</v>
      </c>
      <c r="H4" s="343">
        <f>F4/C4-1</f>
        <v>0.95330000000000004</v>
      </c>
    </row>
    <row r="5" spans="1:8" ht="15" hidden="1" customHeight="1" x14ac:dyDescent="0.25">
      <c r="A5" s="20">
        <v>78006123087</v>
      </c>
      <c r="B5" s="24" t="s">
        <v>206</v>
      </c>
      <c r="C5" s="22">
        <v>1060</v>
      </c>
      <c r="D5" s="23"/>
      <c r="E5" s="23"/>
      <c r="F5" s="23">
        <v>2070.498</v>
      </c>
      <c r="G5" s="342">
        <v>1863.4482</v>
      </c>
      <c r="H5" s="343">
        <f>F5/C5-1</f>
        <v>0.95330000000000004</v>
      </c>
    </row>
    <row r="6" spans="1:8" ht="15" hidden="1" customHeight="1" x14ac:dyDescent="0.25">
      <c r="A6" s="20">
        <v>78006125087</v>
      </c>
      <c r="B6" s="21" t="s">
        <v>207</v>
      </c>
      <c r="C6" s="22">
        <v>1085</v>
      </c>
      <c r="D6" s="23"/>
      <c r="E6" s="23"/>
      <c r="F6" s="23">
        <v>2117.027</v>
      </c>
      <c r="G6" s="342">
        <v>1905.3243</v>
      </c>
      <c r="H6" s="343">
        <f>F6/C6-1</f>
        <v>0.95117695852534556</v>
      </c>
    </row>
    <row r="7" spans="1:8" ht="15" hidden="1" customHeight="1" x14ac:dyDescent="0.25">
      <c r="A7" s="20">
        <v>78006126087</v>
      </c>
      <c r="B7" s="24" t="s">
        <v>17</v>
      </c>
      <c r="C7" s="22">
        <v>1095</v>
      </c>
      <c r="D7" s="23"/>
      <c r="E7" s="23"/>
      <c r="F7" s="23">
        <v>2144.9580000000001</v>
      </c>
      <c r="G7" s="342">
        <v>1930.4621999999999</v>
      </c>
      <c r="H7" s="343">
        <f>F7/C7-1</f>
        <v>0.95886575342465763</v>
      </c>
    </row>
    <row r="8" spans="1:8" ht="15" hidden="1" customHeight="1" x14ac:dyDescent="0.25">
      <c r="A8" s="16" t="s">
        <v>12</v>
      </c>
      <c r="B8" s="17" t="s">
        <v>18</v>
      </c>
      <c r="C8" s="18" t="s">
        <v>201</v>
      </c>
      <c r="D8" s="19"/>
      <c r="E8" s="19"/>
      <c r="F8" s="19" t="s">
        <v>202</v>
      </c>
      <c r="G8" s="340" t="s">
        <v>203</v>
      </c>
      <c r="H8" s="341" t="s">
        <v>204</v>
      </c>
    </row>
    <row r="9" spans="1:8" ht="15" hidden="1" customHeight="1" x14ac:dyDescent="0.25">
      <c r="A9" s="25">
        <v>78919006003</v>
      </c>
      <c r="B9" s="21" t="s">
        <v>208</v>
      </c>
      <c r="C9" s="22">
        <v>159</v>
      </c>
      <c r="D9" s="23"/>
      <c r="E9" s="23"/>
      <c r="F9" s="23">
        <v>295.93600000000004</v>
      </c>
      <c r="G9" s="342">
        <v>266.34240000000005</v>
      </c>
      <c r="H9" s="343">
        <f t="shared" ref="H9:H18" si="0">F9/C9-1</f>
        <v>0.86123270440251587</v>
      </c>
    </row>
    <row r="10" spans="1:8" ht="15" hidden="1" customHeight="1" x14ac:dyDescent="0.25">
      <c r="A10" s="25">
        <v>78919016003</v>
      </c>
      <c r="B10" s="21" t="s">
        <v>19</v>
      </c>
      <c r="C10" s="22">
        <v>159</v>
      </c>
      <c r="D10" s="23"/>
      <c r="E10" s="23"/>
      <c r="F10" s="23">
        <v>295.93600000000004</v>
      </c>
      <c r="G10" s="342">
        <v>266.34240000000005</v>
      </c>
      <c r="H10" s="343">
        <f t="shared" si="0"/>
        <v>0.86123270440251587</v>
      </c>
    </row>
    <row r="11" spans="1:8" ht="15" hidden="1" customHeight="1" x14ac:dyDescent="0.25">
      <c r="A11" s="25">
        <v>78919026003</v>
      </c>
      <c r="B11" s="21" t="s">
        <v>209</v>
      </c>
      <c r="C11" s="22">
        <v>159</v>
      </c>
      <c r="D11" s="23"/>
      <c r="E11" s="23"/>
      <c r="F11" s="23">
        <v>295.93600000000004</v>
      </c>
      <c r="G11" s="342">
        <v>266.34240000000005</v>
      </c>
      <c r="H11" s="343">
        <f t="shared" si="0"/>
        <v>0.86123270440251587</v>
      </c>
    </row>
    <row r="12" spans="1:8" ht="15" hidden="1" customHeight="1" x14ac:dyDescent="0.25">
      <c r="A12" s="25">
        <v>78919036003</v>
      </c>
      <c r="B12" s="21" t="s">
        <v>20</v>
      </c>
      <c r="C12" s="22">
        <v>159</v>
      </c>
      <c r="D12" s="23"/>
      <c r="E12" s="23"/>
      <c r="F12" s="23">
        <v>295.93600000000004</v>
      </c>
      <c r="G12" s="342">
        <v>266.34240000000005</v>
      </c>
      <c r="H12" s="343">
        <f t="shared" si="0"/>
        <v>0.86123270440251587</v>
      </c>
    </row>
    <row r="13" spans="1:8" ht="15" hidden="1" customHeight="1" x14ac:dyDescent="0.25">
      <c r="A13" s="25">
        <v>78919046003</v>
      </c>
      <c r="B13" s="21" t="s">
        <v>210</v>
      </c>
      <c r="C13" s="22">
        <v>159</v>
      </c>
      <c r="D13" s="23"/>
      <c r="E13" s="23"/>
      <c r="F13" s="23">
        <v>295.93600000000004</v>
      </c>
      <c r="G13" s="342">
        <v>266.34240000000005</v>
      </c>
      <c r="H13" s="343">
        <f t="shared" si="0"/>
        <v>0.86123270440251587</v>
      </c>
    </row>
    <row r="14" spans="1:8" ht="15" hidden="1" customHeight="1" x14ac:dyDescent="0.25">
      <c r="A14" s="20">
        <v>78919166003</v>
      </c>
      <c r="B14" s="21" t="s">
        <v>21</v>
      </c>
      <c r="C14" s="22">
        <v>180</v>
      </c>
      <c r="D14" s="23"/>
      <c r="E14" s="23"/>
      <c r="F14" s="23">
        <v>334.52600000000001</v>
      </c>
      <c r="G14" s="342">
        <v>301.07339999999999</v>
      </c>
      <c r="H14" s="343">
        <f t="shared" si="0"/>
        <v>0.8584777777777779</v>
      </c>
    </row>
    <row r="15" spans="1:8" ht="15" hidden="1" customHeight="1" x14ac:dyDescent="0.25">
      <c r="A15" s="20">
        <v>78919106003</v>
      </c>
      <c r="B15" s="24" t="s">
        <v>22</v>
      </c>
      <c r="C15" s="22">
        <v>180</v>
      </c>
      <c r="D15" s="23"/>
      <c r="E15" s="23"/>
      <c r="F15" s="23">
        <v>334.52600000000001</v>
      </c>
      <c r="G15" s="342">
        <v>301.07339999999999</v>
      </c>
      <c r="H15" s="343">
        <f t="shared" si="0"/>
        <v>0.8584777777777779</v>
      </c>
    </row>
    <row r="16" spans="1:8" ht="15" hidden="1" customHeight="1" x14ac:dyDescent="0.25">
      <c r="A16" s="20">
        <v>78919176003</v>
      </c>
      <c r="B16" s="24" t="s">
        <v>211</v>
      </c>
      <c r="C16" s="22">
        <v>231</v>
      </c>
      <c r="D16" s="23"/>
      <c r="E16" s="23"/>
      <c r="F16" s="23">
        <v>428.72300000000001</v>
      </c>
      <c r="G16" s="342">
        <v>385.85070000000002</v>
      </c>
      <c r="H16" s="343">
        <f t="shared" si="0"/>
        <v>0.85594372294372301</v>
      </c>
    </row>
    <row r="17" spans="1:8" ht="15" hidden="1" customHeight="1" x14ac:dyDescent="0.25">
      <c r="A17" s="20">
        <v>78919186003</v>
      </c>
      <c r="B17" s="21" t="s">
        <v>23</v>
      </c>
      <c r="C17" s="22">
        <v>231</v>
      </c>
      <c r="D17" s="23"/>
      <c r="E17" s="23"/>
      <c r="F17" s="23">
        <v>428.72300000000001</v>
      </c>
      <c r="G17" s="342">
        <v>385.85070000000002</v>
      </c>
      <c r="H17" s="343">
        <f t="shared" si="0"/>
        <v>0.85594372294372301</v>
      </c>
    </row>
    <row r="18" spans="1:8" ht="15" hidden="1" customHeight="1" x14ac:dyDescent="0.25">
      <c r="A18" s="52">
        <v>78919206003</v>
      </c>
      <c r="B18" s="53" t="s">
        <v>24</v>
      </c>
      <c r="C18" s="54">
        <v>283</v>
      </c>
      <c r="D18" s="55"/>
      <c r="E18" s="55"/>
      <c r="F18" s="55">
        <v>526.303</v>
      </c>
      <c r="G18" s="344">
        <v>473.67269999999996</v>
      </c>
      <c r="H18" s="345">
        <f t="shared" si="0"/>
        <v>0.85972791519434621</v>
      </c>
    </row>
    <row r="19" spans="1:8" ht="15" customHeight="1" x14ac:dyDescent="0.25">
      <c r="A19" s="56" t="s">
        <v>12</v>
      </c>
      <c r="B19" s="57" t="s">
        <v>25</v>
      </c>
      <c r="C19" s="58" t="s">
        <v>1255</v>
      </c>
      <c r="D19" s="59" t="s">
        <v>500</v>
      </c>
      <c r="E19" s="59" t="s">
        <v>1013</v>
      </c>
      <c r="F19" s="59" t="s">
        <v>202</v>
      </c>
      <c r="G19" s="346" t="s">
        <v>203</v>
      </c>
      <c r="H19" s="346" t="s">
        <v>204</v>
      </c>
    </row>
    <row r="20" spans="1:8" ht="15" customHeight="1" x14ac:dyDescent="0.25">
      <c r="A20" s="7" t="s">
        <v>420</v>
      </c>
      <c r="B20" s="99" t="s">
        <v>511</v>
      </c>
      <c r="C20" s="27">
        <f>Planilha2!B3</f>
        <v>699</v>
      </c>
      <c r="D20" s="279">
        <f>FOB!G17</f>
        <v>0.13</v>
      </c>
      <c r="E20" s="280">
        <f>C20*D20+C20</f>
        <v>789.87</v>
      </c>
      <c r="F20" s="280">
        <v>1320.5</v>
      </c>
      <c r="G20" s="347">
        <v>1181.5</v>
      </c>
      <c r="H20" s="348">
        <f>F20/E20-1</f>
        <v>0.67179409269879842</v>
      </c>
    </row>
    <row r="21" spans="1:8" ht="15" customHeight="1" x14ac:dyDescent="0.25">
      <c r="A21" s="7" t="s">
        <v>888</v>
      </c>
      <c r="B21" s="99" t="s">
        <v>889</v>
      </c>
      <c r="C21" s="27">
        <f>Planilha2!B4</f>
        <v>1251</v>
      </c>
      <c r="D21" s="279">
        <f>FOB!G19</f>
        <v>0.13</v>
      </c>
      <c r="E21" s="280">
        <f t="shared" ref="E21:E87" si="1">C21*D21+C21</f>
        <v>1413.63</v>
      </c>
      <c r="F21" s="280">
        <v>2460.5</v>
      </c>
      <c r="G21" s="347">
        <v>2201.5</v>
      </c>
      <c r="H21" s="348">
        <f t="shared" ref="H21:H87" si="2">F21/C21-1</f>
        <v>0.96682653876898472</v>
      </c>
    </row>
    <row r="22" spans="1:8" ht="15" customHeight="1" x14ac:dyDescent="0.25">
      <c r="A22" s="7" t="s">
        <v>419</v>
      </c>
      <c r="B22" s="99" t="s">
        <v>512</v>
      </c>
      <c r="C22" s="27">
        <f>Planilha2!B5</f>
        <v>479.61</v>
      </c>
      <c r="D22" s="279">
        <f>FOB!G20</f>
        <v>0.13</v>
      </c>
      <c r="E22" s="280">
        <f t="shared" si="1"/>
        <v>541.95929999999998</v>
      </c>
      <c r="F22" s="280">
        <v>1034.55</v>
      </c>
      <c r="G22" s="347">
        <v>925.65</v>
      </c>
      <c r="H22" s="348">
        <f t="shared" si="2"/>
        <v>1.1570651154062674</v>
      </c>
    </row>
    <row r="23" spans="1:8" ht="15" customHeight="1" x14ac:dyDescent="0.25">
      <c r="A23" s="7" t="s">
        <v>417</v>
      </c>
      <c r="B23" s="99" t="s">
        <v>513</v>
      </c>
      <c r="C23" s="27">
        <f>Planilha2!B6</f>
        <v>299</v>
      </c>
      <c r="D23" s="279">
        <f>FOB!G22</f>
        <v>0.13</v>
      </c>
      <c r="E23" s="280">
        <f t="shared" si="1"/>
        <v>337.87</v>
      </c>
      <c r="F23" s="280">
        <v>569.90499999999997</v>
      </c>
      <c r="G23" s="347">
        <v>509.91499999999996</v>
      </c>
      <c r="H23" s="348">
        <f t="shared" si="2"/>
        <v>0.90603678929765885</v>
      </c>
    </row>
    <row r="24" spans="1:8" ht="15" customHeight="1" x14ac:dyDescent="0.25">
      <c r="A24" s="7" t="s">
        <v>418</v>
      </c>
      <c r="B24" s="99" t="s">
        <v>514</v>
      </c>
      <c r="C24" s="27">
        <f>Planilha2!B7</f>
        <v>166.28</v>
      </c>
      <c r="D24" s="279">
        <f>FOB!G23</f>
        <v>0.13</v>
      </c>
      <c r="E24" s="280">
        <f t="shared" si="1"/>
        <v>187.8964</v>
      </c>
      <c r="F24" s="280">
        <v>370.40499999999997</v>
      </c>
      <c r="G24" s="347">
        <v>331.41499999999996</v>
      </c>
      <c r="H24" s="348">
        <f t="shared" si="2"/>
        <v>1.2275980274236225</v>
      </c>
    </row>
    <row r="25" spans="1:8" ht="18.75" customHeight="1" x14ac:dyDescent="0.25">
      <c r="A25" s="60" t="s">
        <v>26</v>
      </c>
      <c r="B25" s="100" t="s">
        <v>877</v>
      </c>
      <c r="C25" s="27">
        <f>Planilha2!B8</f>
        <v>448.11</v>
      </c>
      <c r="D25" s="279">
        <f>FOB!G24</f>
        <v>0.13</v>
      </c>
      <c r="E25" s="280">
        <f t="shared" si="1"/>
        <v>506.36430000000001</v>
      </c>
      <c r="F25" s="280">
        <v>947.15</v>
      </c>
      <c r="G25" s="347">
        <v>847.44999999999993</v>
      </c>
      <c r="H25" s="348">
        <f t="shared" si="2"/>
        <v>1.1136551293209256</v>
      </c>
    </row>
    <row r="26" spans="1:8" ht="15.75" x14ac:dyDescent="0.25">
      <c r="A26" s="61" t="s">
        <v>29</v>
      </c>
      <c r="B26" s="101" t="s">
        <v>878</v>
      </c>
      <c r="C26" s="27">
        <f>Planilha2!B9</f>
        <v>169.9</v>
      </c>
      <c r="D26" s="279">
        <f>FOB!G25</f>
        <v>0.13</v>
      </c>
      <c r="E26" s="280">
        <f t="shared" si="1"/>
        <v>191.98699999999999</v>
      </c>
      <c r="F26" s="280">
        <v>312.55</v>
      </c>
      <c r="G26" s="347">
        <v>279.64999999999998</v>
      </c>
      <c r="H26" s="348">
        <f t="shared" si="2"/>
        <v>0.83961153619776341</v>
      </c>
    </row>
    <row r="27" spans="1:8" ht="15.75" x14ac:dyDescent="0.25">
      <c r="A27" s="61" t="s">
        <v>28</v>
      </c>
      <c r="B27" s="101" t="s">
        <v>879</v>
      </c>
      <c r="C27" s="27">
        <f>Planilha2!B10</f>
        <v>169.9</v>
      </c>
      <c r="D27" s="279">
        <f>FOB!G26</f>
        <v>0.13</v>
      </c>
      <c r="E27" s="280">
        <f t="shared" si="1"/>
        <v>191.98699999999999</v>
      </c>
      <c r="F27" s="280">
        <v>312.55</v>
      </c>
      <c r="G27" s="347">
        <v>279.64999999999998</v>
      </c>
      <c r="H27" s="348">
        <f t="shared" si="2"/>
        <v>0.83961153619776341</v>
      </c>
    </row>
    <row r="28" spans="1:8" x14ac:dyDescent="0.25">
      <c r="A28" s="61" t="s">
        <v>997</v>
      </c>
      <c r="B28" s="99" t="s">
        <v>996</v>
      </c>
      <c r="C28" s="27">
        <f>Planilha2!B11</f>
        <v>189.9</v>
      </c>
      <c r="D28" s="279">
        <f>FOB!G27</f>
        <v>0.13</v>
      </c>
      <c r="E28" s="280">
        <f t="shared" si="1"/>
        <v>214.58700000000002</v>
      </c>
      <c r="F28" s="280">
        <v>377.15</v>
      </c>
      <c r="G28" s="347">
        <v>337.45</v>
      </c>
      <c r="H28" s="348">
        <f t="shared" si="2"/>
        <v>0.98604528699315419</v>
      </c>
    </row>
    <row r="29" spans="1:8" x14ac:dyDescent="0.25">
      <c r="A29" s="183" t="s">
        <v>1250</v>
      </c>
      <c r="B29" s="337" t="s">
        <v>1020</v>
      </c>
      <c r="C29" s="27">
        <f>Planilha2!B12</f>
        <v>940.5</v>
      </c>
      <c r="D29" s="279">
        <f>FOB!G18</f>
        <v>0.13</v>
      </c>
      <c r="E29" s="280">
        <f t="shared" ref="E29:E30" si="3">C29*D29+C29</f>
        <v>1062.7650000000001</v>
      </c>
      <c r="F29" s="280">
        <v>1795.5</v>
      </c>
      <c r="G29" s="347">
        <v>1606.5</v>
      </c>
      <c r="H29" s="348">
        <f t="shared" ref="H29:H30" si="4">F29/C29-1</f>
        <v>0.90909090909090917</v>
      </c>
    </row>
    <row r="30" spans="1:8" x14ac:dyDescent="0.25">
      <c r="A30" s="183" t="s">
        <v>1018</v>
      </c>
      <c r="B30" s="337" t="s">
        <v>1256</v>
      </c>
      <c r="C30" s="27">
        <f>Planilha2!B13</f>
        <v>369.55</v>
      </c>
      <c r="D30" s="279">
        <f>FOB!G21</f>
        <v>0.13</v>
      </c>
      <c r="E30" s="280">
        <f t="shared" si="3"/>
        <v>417.5915</v>
      </c>
      <c r="F30" s="280">
        <v>806.55</v>
      </c>
      <c r="G30" s="347">
        <v>721.65</v>
      </c>
      <c r="H30" s="348">
        <f t="shared" si="4"/>
        <v>1.1825192802056552</v>
      </c>
    </row>
    <row r="31" spans="1:8" ht="18.75" x14ac:dyDescent="0.25">
      <c r="A31" s="56" t="s">
        <v>12</v>
      </c>
      <c r="B31" s="57" t="s">
        <v>1023</v>
      </c>
      <c r="C31" s="58" t="s">
        <v>1255</v>
      </c>
      <c r="D31" s="338" t="s">
        <v>500</v>
      </c>
      <c r="E31" s="338" t="s">
        <v>1013</v>
      </c>
      <c r="F31" s="59" t="s">
        <v>202</v>
      </c>
      <c r="G31" s="346" t="s">
        <v>203</v>
      </c>
      <c r="H31" s="346" t="s">
        <v>204</v>
      </c>
    </row>
    <row r="32" spans="1:8" x14ac:dyDescent="0.25">
      <c r="A32" s="183" t="s">
        <v>1026</v>
      </c>
      <c r="B32" s="99" t="s">
        <v>1024</v>
      </c>
      <c r="C32" s="27">
        <f>Planilha2!B15</f>
        <v>589</v>
      </c>
      <c r="D32" s="279">
        <f>FOB!G29</f>
        <v>0</v>
      </c>
      <c r="E32" s="280">
        <f t="shared" ref="E32:E33" si="5">C32*D32+C32</f>
        <v>589</v>
      </c>
      <c r="F32" s="280">
        <v>1320.5</v>
      </c>
      <c r="G32" s="347">
        <v>1181.5</v>
      </c>
      <c r="H32" s="348">
        <f t="shared" ref="H32:H33" si="6">F32/C32-1</f>
        <v>1.2419354838709675</v>
      </c>
    </row>
    <row r="33" spans="1:8" x14ac:dyDescent="0.25">
      <c r="A33" s="183" t="s">
        <v>1027</v>
      </c>
      <c r="B33" s="99" t="s">
        <v>1025</v>
      </c>
      <c r="C33" s="27">
        <f>Planilha2!B16</f>
        <v>589</v>
      </c>
      <c r="D33" s="279">
        <f>FOB!G30</f>
        <v>0</v>
      </c>
      <c r="E33" s="280">
        <f t="shared" si="5"/>
        <v>589</v>
      </c>
      <c r="F33" s="280">
        <v>1320.5</v>
      </c>
      <c r="G33" s="347">
        <v>1181.5</v>
      </c>
      <c r="H33" s="348">
        <f t="shared" si="6"/>
        <v>1.2419354838709675</v>
      </c>
    </row>
    <row r="34" spans="1:8" ht="15" customHeight="1" x14ac:dyDescent="0.25">
      <c r="A34" s="56" t="s">
        <v>12</v>
      </c>
      <c r="B34" s="57" t="s">
        <v>484</v>
      </c>
      <c r="C34" s="58" t="s">
        <v>1255</v>
      </c>
      <c r="D34" s="282" t="s">
        <v>500</v>
      </c>
      <c r="E34" s="282" t="s">
        <v>1013</v>
      </c>
      <c r="F34" s="59" t="s">
        <v>202</v>
      </c>
      <c r="G34" s="346" t="s">
        <v>203</v>
      </c>
      <c r="H34" s="346" t="s">
        <v>204</v>
      </c>
    </row>
    <row r="35" spans="1:8" ht="15" customHeight="1" x14ac:dyDescent="0.25">
      <c r="A35" s="8" t="s">
        <v>613</v>
      </c>
      <c r="B35" s="99" t="s">
        <v>515</v>
      </c>
      <c r="C35" s="27">
        <f>Planilha2!B18</f>
        <v>177</v>
      </c>
      <c r="D35" s="279">
        <f>FOB!G32</f>
        <v>0.13</v>
      </c>
      <c r="E35" s="280">
        <f t="shared" si="1"/>
        <v>200.01</v>
      </c>
      <c r="F35" s="280">
        <v>303.05</v>
      </c>
      <c r="G35" s="347">
        <v>271.14999999999998</v>
      </c>
      <c r="H35" s="348">
        <f t="shared" si="2"/>
        <v>0.71214689265536735</v>
      </c>
    </row>
    <row r="36" spans="1:8" ht="15" customHeight="1" x14ac:dyDescent="0.25">
      <c r="A36" s="8" t="s">
        <v>901</v>
      </c>
      <c r="B36" s="99" t="s">
        <v>516</v>
      </c>
      <c r="C36" s="27">
        <f>Planilha2!B19</f>
        <v>177</v>
      </c>
      <c r="D36" s="279">
        <f>FOB!G33</f>
        <v>0.13</v>
      </c>
      <c r="E36" s="280">
        <f t="shared" si="1"/>
        <v>200.01</v>
      </c>
      <c r="F36" s="280">
        <v>303.05</v>
      </c>
      <c r="G36" s="347">
        <v>271.14999999999998</v>
      </c>
      <c r="H36" s="348">
        <f t="shared" si="2"/>
        <v>0.71214689265536735</v>
      </c>
    </row>
    <row r="37" spans="1:8" ht="15" customHeight="1" x14ac:dyDescent="0.25">
      <c r="A37" s="8" t="s">
        <v>510</v>
      </c>
      <c r="B37" s="99" t="s">
        <v>517</v>
      </c>
      <c r="C37" s="27">
        <f>Planilha2!B20</f>
        <v>99.9</v>
      </c>
      <c r="D37" s="279">
        <f>FOB!G34</f>
        <v>0.13</v>
      </c>
      <c r="E37" s="280">
        <f t="shared" si="1"/>
        <v>112.887</v>
      </c>
      <c r="F37" s="280">
        <v>260.20499999999998</v>
      </c>
      <c r="G37" s="347">
        <v>232.81499999999997</v>
      </c>
      <c r="H37" s="348">
        <f t="shared" si="2"/>
        <v>1.6046546546546545</v>
      </c>
    </row>
    <row r="38" spans="1:8" ht="15" customHeight="1" x14ac:dyDescent="0.25">
      <c r="A38" s="8" t="s">
        <v>476</v>
      </c>
      <c r="B38" s="99" t="s">
        <v>518</v>
      </c>
      <c r="C38" s="27">
        <f>Planilha2!B21</f>
        <v>149.9</v>
      </c>
      <c r="D38" s="279">
        <f>FOB!G35</f>
        <v>0.13</v>
      </c>
      <c r="E38" s="280">
        <f t="shared" si="1"/>
        <v>169.387</v>
      </c>
      <c r="F38" s="280">
        <v>277.30499999999995</v>
      </c>
      <c r="G38" s="347">
        <v>248.11499999999998</v>
      </c>
      <c r="H38" s="348">
        <f t="shared" si="2"/>
        <v>0.84993328885923902</v>
      </c>
    </row>
    <row r="39" spans="1:8" ht="15" customHeight="1" x14ac:dyDescent="0.25">
      <c r="A39" s="8" t="s">
        <v>502</v>
      </c>
      <c r="B39" s="99" t="s">
        <v>519</v>
      </c>
      <c r="C39" s="27">
        <f>Planilha2!B22</f>
        <v>192.9</v>
      </c>
      <c r="D39" s="279">
        <f>FOB!G36</f>
        <v>0.13</v>
      </c>
      <c r="E39" s="280">
        <f t="shared" si="1"/>
        <v>217.977</v>
      </c>
      <c r="F39" s="280">
        <v>329.55499999999995</v>
      </c>
      <c r="G39" s="347">
        <v>294.86499999999995</v>
      </c>
      <c r="H39" s="348">
        <f t="shared" si="2"/>
        <v>0.70842405391394481</v>
      </c>
    </row>
    <row r="40" spans="1:8" s="287" customFormat="1" ht="15" customHeight="1" x14ac:dyDescent="0.25">
      <c r="A40" s="8" t="s">
        <v>531</v>
      </c>
      <c r="B40" s="99" t="s">
        <v>533</v>
      </c>
      <c r="C40" s="27">
        <f>Planilha2!B23</f>
        <v>99.9</v>
      </c>
      <c r="D40" s="279">
        <f>FOB!G37</f>
        <v>0.13</v>
      </c>
      <c r="E40" s="280">
        <f t="shared" si="1"/>
        <v>112.887</v>
      </c>
      <c r="F40" s="280">
        <v>298.20499999999998</v>
      </c>
      <c r="G40" s="347">
        <v>266.815</v>
      </c>
      <c r="H40" s="348">
        <f t="shared" si="2"/>
        <v>1.9850350350350348</v>
      </c>
    </row>
    <row r="41" spans="1:8" s="287" customFormat="1" ht="15" customHeight="1" x14ac:dyDescent="0.25">
      <c r="A41" s="8" t="s">
        <v>532</v>
      </c>
      <c r="B41" s="99" t="s">
        <v>534</v>
      </c>
      <c r="C41" s="27">
        <f>Planilha2!B24</f>
        <v>99.9</v>
      </c>
      <c r="D41" s="279">
        <f>FOB!G38</f>
        <v>0.13</v>
      </c>
      <c r="E41" s="280">
        <f t="shared" si="1"/>
        <v>112.887</v>
      </c>
      <c r="F41" s="280">
        <v>287.75499999999994</v>
      </c>
      <c r="G41" s="347">
        <v>257.46499999999997</v>
      </c>
      <c r="H41" s="348">
        <f t="shared" si="2"/>
        <v>1.8804304304304296</v>
      </c>
    </row>
    <row r="42" spans="1:8" ht="15" customHeight="1" x14ac:dyDescent="0.25">
      <c r="A42" s="8" t="s">
        <v>524</v>
      </c>
      <c r="B42" s="99" t="s">
        <v>522</v>
      </c>
      <c r="C42" s="27">
        <f>Planilha2!B25</f>
        <v>149.9</v>
      </c>
      <c r="D42" s="279">
        <f>FOB!G39</f>
        <v>0.13</v>
      </c>
      <c r="E42" s="280">
        <f t="shared" si="1"/>
        <v>169.387</v>
      </c>
      <c r="F42" s="280">
        <v>355.20499999999998</v>
      </c>
      <c r="G42" s="347">
        <v>317.815</v>
      </c>
      <c r="H42" s="348">
        <f t="shared" si="2"/>
        <v>1.3696130753835889</v>
      </c>
    </row>
    <row r="43" spans="1:8" ht="15" customHeight="1" x14ac:dyDescent="0.25">
      <c r="A43" s="8" t="s">
        <v>501</v>
      </c>
      <c r="B43" s="99" t="s">
        <v>520</v>
      </c>
      <c r="C43" s="27">
        <f>Planilha2!B26</f>
        <v>99.9</v>
      </c>
      <c r="D43" s="279">
        <f>FOB!G40</f>
        <v>0.13</v>
      </c>
      <c r="E43" s="280">
        <f t="shared" si="1"/>
        <v>112.887</v>
      </c>
      <c r="F43" s="280">
        <v>322.90499999999997</v>
      </c>
      <c r="G43" s="347">
        <v>288.91499999999996</v>
      </c>
      <c r="H43" s="348">
        <f t="shared" si="2"/>
        <v>2.2322822822822816</v>
      </c>
    </row>
    <row r="44" spans="1:8" ht="15" customHeight="1" x14ac:dyDescent="0.25">
      <c r="A44" s="56" t="s">
        <v>12</v>
      </c>
      <c r="B44" s="57" t="s">
        <v>499</v>
      </c>
      <c r="C44" s="58" t="s">
        <v>1255</v>
      </c>
      <c r="D44" s="283" t="s">
        <v>500</v>
      </c>
      <c r="E44" s="282" t="s">
        <v>1013</v>
      </c>
      <c r="F44" s="59" t="s">
        <v>202</v>
      </c>
      <c r="G44" s="346" t="s">
        <v>203</v>
      </c>
      <c r="H44" s="346" t="s">
        <v>204</v>
      </c>
    </row>
    <row r="45" spans="1:8" ht="15" customHeight="1" x14ac:dyDescent="0.25">
      <c r="A45" s="61" t="s">
        <v>525</v>
      </c>
      <c r="B45" s="102" t="s">
        <v>490</v>
      </c>
      <c r="C45" s="27">
        <f>Planilha2!B28</f>
        <v>87.9</v>
      </c>
      <c r="D45" s="279">
        <f>FOB!G42</f>
        <v>0.13</v>
      </c>
      <c r="E45" s="280">
        <f t="shared" si="1"/>
        <v>99.327000000000012</v>
      </c>
      <c r="F45" s="280">
        <v>170.04999999999998</v>
      </c>
      <c r="G45" s="347">
        <v>152.15</v>
      </c>
      <c r="H45" s="348">
        <f t="shared" si="2"/>
        <v>0.93458475540386776</v>
      </c>
    </row>
    <row r="46" spans="1:8" ht="14.45" customHeight="1" x14ac:dyDescent="0.25">
      <c r="A46" s="332" t="s">
        <v>527</v>
      </c>
      <c r="B46" s="102" t="s">
        <v>491</v>
      </c>
      <c r="C46" s="27">
        <f>Planilha2!B29</f>
        <v>87.9</v>
      </c>
      <c r="D46" s="279">
        <f>FOB!G43</f>
        <v>0.13</v>
      </c>
      <c r="E46" s="280">
        <f t="shared" si="1"/>
        <v>99.327000000000012</v>
      </c>
      <c r="F46" s="280">
        <v>170.04999999999998</v>
      </c>
      <c r="G46" s="347">
        <v>152.15</v>
      </c>
      <c r="H46" s="348">
        <f t="shared" si="2"/>
        <v>0.93458475540386776</v>
      </c>
    </row>
    <row r="47" spans="1:8" ht="15" customHeight="1" x14ac:dyDescent="0.25">
      <c r="A47" s="61" t="s">
        <v>30</v>
      </c>
      <c r="B47" s="102" t="s">
        <v>492</v>
      </c>
      <c r="C47" s="27">
        <f>Planilha2!B30</f>
        <v>125</v>
      </c>
      <c r="D47" s="279">
        <f>FOB!G44</f>
        <v>0.13</v>
      </c>
      <c r="E47" s="280">
        <f t="shared" si="1"/>
        <v>141.25</v>
      </c>
      <c r="F47" s="280">
        <v>213.75</v>
      </c>
      <c r="G47" s="347">
        <v>191.25</v>
      </c>
      <c r="H47" s="348">
        <f t="shared" si="2"/>
        <v>0.71</v>
      </c>
    </row>
    <row r="48" spans="1:8" ht="15" customHeight="1" x14ac:dyDescent="0.25">
      <c r="A48" s="61" t="s">
        <v>32</v>
      </c>
      <c r="B48" s="102" t="s">
        <v>493</v>
      </c>
      <c r="C48" s="27">
        <f>Planilha2!B31</f>
        <v>172</v>
      </c>
      <c r="D48" s="279">
        <f>FOB!G45</f>
        <v>0.13</v>
      </c>
      <c r="E48" s="280">
        <f t="shared" si="1"/>
        <v>194.36</v>
      </c>
      <c r="F48" s="280">
        <v>293.55</v>
      </c>
      <c r="G48" s="347">
        <v>262.64999999999998</v>
      </c>
      <c r="H48" s="348">
        <f t="shared" si="2"/>
        <v>0.70668604651162803</v>
      </c>
    </row>
    <row r="49" spans="1:8" ht="15" customHeight="1" x14ac:dyDescent="0.25">
      <c r="A49" s="61" t="s">
        <v>255</v>
      </c>
      <c r="B49" s="102" t="s">
        <v>494</v>
      </c>
      <c r="C49" s="27">
        <f>Planilha2!B32</f>
        <v>159</v>
      </c>
      <c r="D49" s="279">
        <f>FOB!G46</f>
        <v>0.13</v>
      </c>
      <c r="E49" s="280">
        <f t="shared" si="1"/>
        <v>179.67000000000002</v>
      </c>
      <c r="F49" s="280">
        <v>271.7</v>
      </c>
      <c r="G49" s="347">
        <v>243.1</v>
      </c>
      <c r="H49" s="348">
        <f t="shared" si="2"/>
        <v>0.70880503144654083</v>
      </c>
    </row>
    <row r="50" spans="1:8" ht="15" customHeight="1" x14ac:dyDescent="0.25">
      <c r="A50" s="61" t="s">
        <v>34</v>
      </c>
      <c r="B50" s="102" t="s">
        <v>495</v>
      </c>
      <c r="C50" s="27">
        <f>Planilha2!B33</f>
        <v>160.29999999999998</v>
      </c>
      <c r="D50" s="279">
        <f>FOB!G47</f>
        <v>0.13</v>
      </c>
      <c r="E50" s="280">
        <f t="shared" si="1"/>
        <v>181.13899999999998</v>
      </c>
      <c r="F50" s="280">
        <v>379.04999999999995</v>
      </c>
      <c r="G50" s="347">
        <v>339.15</v>
      </c>
      <c r="H50" s="348">
        <f t="shared" si="2"/>
        <v>1.3646288209606987</v>
      </c>
    </row>
    <row r="51" spans="1:8" ht="15" customHeight="1" x14ac:dyDescent="0.25">
      <c r="A51" s="8" t="s">
        <v>528</v>
      </c>
      <c r="B51" s="103" t="s">
        <v>496</v>
      </c>
      <c r="C51" s="27">
        <f>Planilha2!B34</f>
        <v>122</v>
      </c>
      <c r="D51" s="279">
        <f>FOB!G48</f>
        <v>0.13</v>
      </c>
      <c r="E51" s="280">
        <f t="shared" si="1"/>
        <v>137.86000000000001</v>
      </c>
      <c r="F51" s="280">
        <v>217.54999999999998</v>
      </c>
      <c r="G51" s="347">
        <v>194.65</v>
      </c>
      <c r="H51" s="348">
        <f t="shared" si="2"/>
        <v>0.78319672131147522</v>
      </c>
    </row>
    <row r="52" spans="1:8" ht="15" customHeight="1" x14ac:dyDescent="0.25">
      <c r="A52" s="8" t="s">
        <v>614</v>
      </c>
      <c r="B52" s="103" t="s">
        <v>497</v>
      </c>
      <c r="C52" s="27">
        <f>Planilha2!B35</f>
        <v>167</v>
      </c>
      <c r="D52" s="279">
        <f>FOB!G49</f>
        <v>0.13</v>
      </c>
      <c r="E52" s="280">
        <f t="shared" si="1"/>
        <v>188.71</v>
      </c>
      <c r="F52" s="280">
        <v>293.55</v>
      </c>
      <c r="G52" s="347">
        <v>262.64999999999998</v>
      </c>
      <c r="H52" s="348">
        <f t="shared" si="2"/>
        <v>0.75778443113772465</v>
      </c>
    </row>
    <row r="53" spans="1:8" ht="15" customHeight="1" x14ac:dyDescent="0.25">
      <c r="A53" s="56" t="s">
        <v>12</v>
      </c>
      <c r="B53" s="57" t="s">
        <v>498</v>
      </c>
      <c r="C53" s="58" t="s">
        <v>1255</v>
      </c>
      <c r="D53" s="282" t="s">
        <v>500</v>
      </c>
      <c r="E53" s="282" t="s">
        <v>1013</v>
      </c>
      <c r="F53" s="59" t="s">
        <v>202</v>
      </c>
      <c r="G53" s="346" t="s">
        <v>203</v>
      </c>
      <c r="H53" s="346" t="s">
        <v>204</v>
      </c>
    </row>
    <row r="54" spans="1:8" ht="15" customHeight="1" x14ac:dyDescent="0.25">
      <c r="A54" s="4" t="s">
        <v>472</v>
      </c>
      <c r="B54" s="104" t="s">
        <v>521</v>
      </c>
      <c r="C54" s="27">
        <f>Planilha2!B37</f>
        <v>66.900000000000006</v>
      </c>
      <c r="D54" s="279">
        <f>FOB!G51</f>
        <v>0.13</v>
      </c>
      <c r="E54" s="280">
        <f t="shared" si="1"/>
        <v>75.597000000000008</v>
      </c>
      <c r="F54" s="280">
        <v>116.85</v>
      </c>
      <c r="G54" s="347">
        <v>104.55</v>
      </c>
      <c r="H54" s="348">
        <f t="shared" si="2"/>
        <v>0.74663677130044825</v>
      </c>
    </row>
    <row r="55" spans="1:8" ht="15" customHeight="1" x14ac:dyDescent="0.25">
      <c r="A55" s="62" t="s">
        <v>36</v>
      </c>
      <c r="B55" s="105" t="s">
        <v>252</v>
      </c>
      <c r="C55" s="27">
        <f>Planilha2!B38</f>
        <v>79.900000000000006</v>
      </c>
      <c r="D55" s="279">
        <f>FOB!G52</f>
        <v>0.13</v>
      </c>
      <c r="E55" s="280">
        <f t="shared" si="1"/>
        <v>90.287000000000006</v>
      </c>
      <c r="F55" s="280">
        <v>141.54999999999998</v>
      </c>
      <c r="G55" s="347">
        <v>126.64999999999999</v>
      </c>
      <c r="H55" s="348">
        <f t="shared" si="2"/>
        <v>0.77158948685857287</v>
      </c>
    </row>
    <row r="56" spans="1:8" ht="15" customHeight="1" x14ac:dyDescent="0.25">
      <c r="A56" s="62" t="s">
        <v>38</v>
      </c>
      <c r="B56" s="105" t="s">
        <v>253</v>
      </c>
      <c r="C56" s="27">
        <f>Planilha2!B39</f>
        <v>72.900000000000006</v>
      </c>
      <c r="D56" s="279">
        <f>FOB!G53</f>
        <v>0.13</v>
      </c>
      <c r="E56" s="280">
        <f t="shared" si="1"/>
        <v>82.37700000000001</v>
      </c>
      <c r="F56" s="280">
        <v>132.04999999999998</v>
      </c>
      <c r="G56" s="347">
        <v>118.14999999999999</v>
      </c>
      <c r="H56" s="348">
        <f t="shared" si="2"/>
        <v>0.81138545953360741</v>
      </c>
    </row>
    <row r="57" spans="1:8" ht="15" customHeight="1" x14ac:dyDescent="0.25">
      <c r="A57" s="56" t="s">
        <v>12</v>
      </c>
      <c r="B57" s="57" t="s">
        <v>320</v>
      </c>
      <c r="C57" s="27">
        <f>Planilha2!B40</f>
        <v>29.9</v>
      </c>
      <c r="D57" s="283" t="s">
        <v>500</v>
      </c>
      <c r="E57" s="282" t="s">
        <v>1013</v>
      </c>
      <c r="F57" s="59" t="s">
        <v>202</v>
      </c>
      <c r="G57" s="346" t="s">
        <v>203</v>
      </c>
      <c r="H57" s="346" t="s">
        <v>204</v>
      </c>
    </row>
    <row r="58" spans="1:8" ht="15" customHeight="1" x14ac:dyDescent="0.25">
      <c r="A58" s="62" t="s">
        <v>257</v>
      </c>
      <c r="B58" s="106" t="s">
        <v>260</v>
      </c>
      <c r="C58" s="27">
        <f>Planilha2!B41</f>
        <v>29.9</v>
      </c>
      <c r="D58" s="278">
        <f>FOB!G55</f>
        <v>0.13</v>
      </c>
      <c r="E58" s="280">
        <f t="shared" si="1"/>
        <v>33.786999999999999</v>
      </c>
      <c r="F58" s="280">
        <v>56.904999999999994</v>
      </c>
      <c r="G58" s="347">
        <v>50.914999999999999</v>
      </c>
      <c r="H58" s="348">
        <f t="shared" si="2"/>
        <v>0.9031772575250836</v>
      </c>
    </row>
    <row r="59" spans="1:8" ht="15" customHeight="1" x14ac:dyDescent="0.25">
      <c r="A59" s="61" t="s">
        <v>42</v>
      </c>
      <c r="B59" s="106" t="s">
        <v>212</v>
      </c>
      <c r="C59" s="27">
        <f>Planilha2!B42</f>
        <v>29.9</v>
      </c>
      <c r="D59" s="278">
        <f>FOB!G56</f>
        <v>0.13</v>
      </c>
      <c r="E59" s="280">
        <f t="shared" si="1"/>
        <v>33.786999999999999</v>
      </c>
      <c r="F59" s="280">
        <v>56.904999999999994</v>
      </c>
      <c r="G59" s="347">
        <v>50.914999999999999</v>
      </c>
      <c r="H59" s="348">
        <f t="shared" si="2"/>
        <v>0.9031772575250836</v>
      </c>
    </row>
    <row r="60" spans="1:8" ht="15" customHeight="1" x14ac:dyDescent="0.25">
      <c r="A60" s="183" t="s">
        <v>998</v>
      </c>
      <c r="B60" s="275" t="s">
        <v>1010</v>
      </c>
      <c r="C60" s="277">
        <f>Planilha2!B42</f>
        <v>29.9</v>
      </c>
      <c r="D60" s="278">
        <f>FOB!G57</f>
        <v>0.13</v>
      </c>
      <c r="E60" s="280">
        <f t="shared" si="1"/>
        <v>33.786999999999999</v>
      </c>
      <c r="F60" s="280">
        <v>56.904999999999994</v>
      </c>
      <c r="G60" s="347">
        <v>50.914999999999999</v>
      </c>
      <c r="H60" s="348">
        <f t="shared" si="2"/>
        <v>0.9031772575250836</v>
      </c>
    </row>
    <row r="61" spans="1:8" ht="15" customHeight="1" x14ac:dyDescent="0.25">
      <c r="A61" s="1" t="s">
        <v>12</v>
      </c>
      <c r="B61" s="2" t="s">
        <v>288</v>
      </c>
      <c r="C61" s="58" t="s">
        <v>1255</v>
      </c>
      <c r="D61" s="282" t="s">
        <v>500</v>
      </c>
      <c r="E61" s="282" t="s">
        <v>1013</v>
      </c>
      <c r="F61" s="59" t="s">
        <v>202</v>
      </c>
      <c r="G61" s="347" t="s">
        <v>1266</v>
      </c>
      <c r="H61" s="346" t="s">
        <v>204</v>
      </c>
    </row>
    <row r="62" spans="1:8" ht="15" customHeight="1" x14ac:dyDescent="0.25">
      <c r="A62" s="384" t="s">
        <v>425</v>
      </c>
      <c r="B62" s="107" t="s">
        <v>506</v>
      </c>
      <c r="C62" s="27">
        <f>Planilha2!B44</f>
        <v>169.31</v>
      </c>
      <c r="D62" s="278">
        <f>FOB!G59</f>
        <v>0.13</v>
      </c>
      <c r="E62" s="280">
        <f t="shared" si="1"/>
        <v>191.3203</v>
      </c>
      <c r="F62" s="280">
        <v>274.55</v>
      </c>
      <c r="G62" s="347">
        <v>245.65</v>
      </c>
      <c r="H62" s="348">
        <f t="shared" si="2"/>
        <v>0.62158171401571094</v>
      </c>
    </row>
    <row r="63" spans="1:8" ht="15" customHeight="1" x14ac:dyDescent="0.25">
      <c r="A63" s="33" t="s">
        <v>289</v>
      </c>
      <c r="B63" s="108" t="s">
        <v>311</v>
      </c>
      <c r="C63" s="27">
        <f>Planilha2!B46</f>
        <v>164.7</v>
      </c>
      <c r="D63" s="278">
        <f>FOB!G60</f>
        <v>0.13</v>
      </c>
      <c r="E63" s="280">
        <f t="shared" si="1"/>
        <v>186.11099999999999</v>
      </c>
      <c r="F63" s="280">
        <v>274.55</v>
      </c>
      <c r="G63" s="347">
        <v>245.65</v>
      </c>
      <c r="H63" s="348">
        <f t="shared" si="2"/>
        <v>0.66697024893746226</v>
      </c>
    </row>
    <row r="64" spans="1:8" ht="15" customHeight="1" x14ac:dyDescent="0.25">
      <c r="A64" s="384" t="s">
        <v>433</v>
      </c>
      <c r="B64" s="107" t="s">
        <v>507</v>
      </c>
      <c r="C64" s="27">
        <f>Planilha2!B46</f>
        <v>164.7</v>
      </c>
      <c r="D64" s="278">
        <f>FOB!G61</f>
        <v>0.13</v>
      </c>
      <c r="E64" s="280">
        <f t="shared" si="1"/>
        <v>186.11099999999999</v>
      </c>
      <c r="F64" s="280">
        <v>274.55</v>
      </c>
      <c r="G64" s="347">
        <v>245.65</v>
      </c>
      <c r="H64" s="348">
        <f t="shared" si="2"/>
        <v>0.66697024893746226</v>
      </c>
    </row>
    <row r="65" spans="1:8" ht="15" customHeight="1" x14ac:dyDescent="0.25">
      <c r="A65" s="33" t="s">
        <v>290</v>
      </c>
      <c r="B65" s="109" t="s">
        <v>312</v>
      </c>
      <c r="C65" s="27">
        <f>Planilha2!B48</f>
        <v>159.9</v>
      </c>
      <c r="D65" s="278">
        <f>FOB!G62</f>
        <v>0.13</v>
      </c>
      <c r="E65" s="280">
        <f t="shared" si="1"/>
        <v>180.68700000000001</v>
      </c>
      <c r="F65" s="280">
        <v>274.55</v>
      </c>
      <c r="G65" s="347">
        <v>245.65</v>
      </c>
      <c r="H65" s="348">
        <f t="shared" si="2"/>
        <v>0.71701063164477796</v>
      </c>
    </row>
    <row r="66" spans="1:8" ht="15" customHeight="1" x14ac:dyDescent="0.25">
      <c r="A66" s="33" t="s">
        <v>291</v>
      </c>
      <c r="B66" s="109" t="s">
        <v>313</v>
      </c>
      <c r="C66" s="27">
        <f>Planilha2!B49</f>
        <v>166.24</v>
      </c>
      <c r="D66" s="278">
        <f>FOB!G63</f>
        <v>0.13</v>
      </c>
      <c r="E66" s="280">
        <f t="shared" si="1"/>
        <v>187.85120000000001</v>
      </c>
      <c r="F66" s="280">
        <v>293.55</v>
      </c>
      <c r="G66" s="347">
        <v>262.64999999999998</v>
      </c>
      <c r="H66" s="348">
        <f t="shared" si="2"/>
        <v>0.76582050048123196</v>
      </c>
    </row>
    <row r="67" spans="1:8" ht="14.45" customHeight="1" x14ac:dyDescent="0.25">
      <c r="A67" s="384" t="s">
        <v>434</v>
      </c>
      <c r="B67" s="107" t="s">
        <v>508</v>
      </c>
      <c r="C67" s="27">
        <f>Planilha2!B49</f>
        <v>166.24</v>
      </c>
      <c r="D67" s="278">
        <f>FOB!G64</f>
        <v>0.13</v>
      </c>
      <c r="E67" s="280">
        <f t="shared" si="1"/>
        <v>187.85120000000001</v>
      </c>
      <c r="F67" s="280">
        <v>274.55</v>
      </c>
      <c r="G67" s="347">
        <v>245.65</v>
      </c>
      <c r="H67" s="348">
        <f t="shared" si="2"/>
        <v>0.65152791145332056</v>
      </c>
    </row>
    <row r="68" spans="1:8" ht="0.6" customHeight="1" x14ac:dyDescent="0.25">
      <c r="A68" s="33" t="s">
        <v>293</v>
      </c>
      <c r="B68" s="110" t="s">
        <v>430</v>
      </c>
      <c r="C68" s="27">
        <f>Planilha2!B51</f>
        <v>211.88</v>
      </c>
      <c r="D68" s="278">
        <f>FOB!G65</f>
        <v>0.13</v>
      </c>
      <c r="E68" s="280">
        <f t="shared" si="1"/>
        <v>239.42439999999999</v>
      </c>
      <c r="F68" s="280">
        <v>407.54999999999995</v>
      </c>
      <c r="G68" s="347">
        <v>364.65</v>
      </c>
      <c r="H68" s="348">
        <f t="shared" si="2"/>
        <v>0.92349443080989224</v>
      </c>
    </row>
    <row r="69" spans="1:8" ht="15" customHeight="1" x14ac:dyDescent="0.25">
      <c r="A69" s="33" t="s">
        <v>294</v>
      </c>
      <c r="B69" s="110" t="s">
        <v>439</v>
      </c>
      <c r="C69" s="277">
        <f>Planilha2!B52</f>
        <v>179</v>
      </c>
      <c r="D69" s="278">
        <f>FOB!G67</f>
        <v>0.13</v>
      </c>
      <c r="E69" s="280">
        <f t="shared" si="1"/>
        <v>202.27</v>
      </c>
      <c r="F69" s="280">
        <v>322.05</v>
      </c>
      <c r="G69" s="347">
        <v>288.14999999999998</v>
      </c>
      <c r="H69" s="348">
        <f t="shared" si="2"/>
        <v>0.79916201117318453</v>
      </c>
    </row>
    <row r="70" spans="1:8" ht="15" customHeight="1" x14ac:dyDescent="0.25">
      <c r="A70" s="1" t="s">
        <v>12</v>
      </c>
      <c r="B70" s="2" t="s">
        <v>287</v>
      </c>
      <c r="C70" s="58" t="s">
        <v>1255</v>
      </c>
      <c r="D70" s="283" t="s">
        <v>500</v>
      </c>
      <c r="E70" s="282" t="s">
        <v>1013</v>
      </c>
      <c r="F70" s="59" t="s">
        <v>202</v>
      </c>
      <c r="G70" s="346" t="s">
        <v>203</v>
      </c>
      <c r="H70" s="346" t="s">
        <v>204</v>
      </c>
    </row>
    <row r="71" spans="1:8" ht="15" customHeight="1" x14ac:dyDescent="0.25">
      <c r="A71" s="33" t="s">
        <v>300</v>
      </c>
      <c r="B71" s="109" t="s">
        <v>314</v>
      </c>
      <c r="C71" s="27" t="e">
        <f>Planilha2!#REF!</f>
        <v>#REF!</v>
      </c>
      <c r="D71" s="279">
        <f>FOB!G70</f>
        <v>0.13</v>
      </c>
      <c r="E71" s="280" t="e">
        <f t="shared" si="1"/>
        <v>#REF!</v>
      </c>
      <c r="F71" s="280">
        <v>236.54999999999998</v>
      </c>
      <c r="G71" s="347">
        <v>211.65</v>
      </c>
      <c r="H71" s="348" t="e">
        <f t="shared" si="2"/>
        <v>#REF!</v>
      </c>
    </row>
    <row r="72" spans="1:8" ht="15" customHeight="1" x14ac:dyDescent="0.25">
      <c r="A72" s="33" t="s">
        <v>301</v>
      </c>
      <c r="B72" s="109" t="s">
        <v>315</v>
      </c>
      <c r="C72" s="27">
        <f>Planilha2!B55</f>
        <v>117.04</v>
      </c>
      <c r="D72" s="279">
        <f>FOB!G71</f>
        <v>0.13</v>
      </c>
      <c r="E72" s="280">
        <f t="shared" si="1"/>
        <v>132.2552</v>
      </c>
      <c r="F72" s="280">
        <v>236.54999999999998</v>
      </c>
      <c r="G72" s="347">
        <v>211.65</v>
      </c>
      <c r="H72" s="348">
        <f t="shared" si="2"/>
        <v>1.0211038961038961</v>
      </c>
    </row>
    <row r="73" spans="1:8" ht="15" customHeight="1" x14ac:dyDescent="0.25">
      <c r="A73" s="33" t="s">
        <v>302</v>
      </c>
      <c r="B73" s="109" t="s">
        <v>316</v>
      </c>
      <c r="C73" s="27">
        <f>Planilha2!B56</f>
        <v>131.12</v>
      </c>
      <c r="D73" s="279">
        <f>FOB!G72</f>
        <v>0.13</v>
      </c>
      <c r="E73" s="280">
        <f t="shared" si="1"/>
        <v>148.16560000000001</v>
      </c>
      <c r="F73" s="280">
        <v>255.54999999999998</v>
      </c>
      <c r="G73" s="347">
        <v>228.65</v>
      </c>
      <c r="H73" s="348">
        <f t="shared" si="2"/>
        <v>0.94897803538743108</v>
      </c>
    </row>
    <row r="74" spans="1:8" ht="15" customHeight="1" x14ac:dyDescent="0.25">
      <c r="A74" s="33" t="s">
        <v>304</v>
      </c>
      <c r="B74" s="109" t="s">
        <v>317</v>
      </c>
      <c r="C74" s="27">
        <f>Planilha2!B58</f>
        <v>189.2</v>
      </c>
      <c r="D74" s="279">
        <f>FOB!G74</f>
        <v>0.13</v>
      </c>
      <c r="E74" s="280">
        <f t="shared" si="1"/>
        <v>213.79599999999999</v>
      </c>
      <c r="F74" s="280">
        <v>369.54999999999995</v>
      </c>
      <c r="G74" s="347">
        <v>330.65</v>
      </c>
      <c r="H74" s="348">
        <f t="shared" si="2"/>
        <v>0.95322410147991521</v>
      </c>
    </row>
    <row r="75" spans="1:8" ht="15" customHeight="1" x14ac:dyDescent="0.25">
      <c r="A75" s="33" t="s">
        <v>443</v>
      </c>
      <c r="B75" s="109" t="s">
        <v>505</v>
      </c>
      <c r="C75" s="27">
        <f>Planilha2!B59</f>
        <v>150.47999999999999</v>
      </c>
      <c r="D75" s="279">
        <f>FOB!G75</f>
        <v>0.13</v>
      </c>
      <c r="E75" s="280">
        <f t="shared" si="1"/>
        <v>170.04239999999999</v>
      </c>
      <c r="F75" s="280">
        <v>312.55</v>
      </c>
      <c r="G75" s="347">
        <v>279.64999999999998</v>
      </c>
      <c r="H75" s="348">
        <f t="shared" si="2"/>
        <v>1.0770202020202024</v>
      </c>
    </row>
    <row r="76" spans="1:8" ht="15" customHeight="1" x14ac:dyDescent="0.25">
      <c r="A76" s="33" t="s">
        <v>305</v>
      </c>
      <c r="B76" s="109" t="s">
        <v>318</v>
      </c>
      <c r="C76" s="27">
        <f>Planilha2!B60</f>
        <v>144.32</v>
      </c>
      <c r="D76" s="279">
        <f>FOB!G76</f>
        <v>0.13</v>
      </c>
      <c r="E76" s="280">
        <f t="shared" si="1"/>
        <v>163.08159999999998</v>
      </c>
      <c r="F76" s="280">
        <v>293.55</v>
      </c>
      <c r="G76" s="347">
        <v>262.64999999999998</v>
      </c>
      <c r="H76" s="348">
        <f t="shared" si="2"/>
        <v>1.0340216186252773</v>
      </c>
    </row>
    <row r="77" spans="1:8" ht="15" customHeight="1" x14ac:dyDescent="0.25">
      <c r="A77" s="56" t="s">
        <v>12</v>
      </c>
      <c r="B77" s="57" t="s">
        <v>45</v>
      </c>
      <c r="C77" s="58" t="s">
        <v>1255</v>
      </c>
      <c r="D77" s="283" t="s">
        <v>500</v>
      </c>
      <c r="E77" s="282" t="s">
        <v>1013</v>
      </c>
      <c r="F77" s="59" t="s">
        <v>202</v>
      </c>
      <c r="G77" s="346" t="s">
        <v>203</v>
      </c>
      <c r="H77" s="346" t="s">
        <v>204</v>
      </c>
    </row>
    <row r="78" spans="1:8" ht="15" customHeight="1" x14ac:dyDescent="0.25">
      <c r="A78" s="62" t="s">
        <v>46</v>
      </c>
      <c r="B78" s="105" t="s">
        <v>213</v>
      </c>
      <c r="C78" s="27">
        <f>Planilha2!B62</f>
        <v>186.11</v>
      </c>
      <c r="D78" s="278">
        <f>FOB!G78</f>
        <v>0.13</v>
      </c>
      <c r="E78" s="280">
        <f t="shared" si="1"/>
        <v>210.30430000000001</v>
      </c>
      <c r="F78" s="280">
        <v>313.40499999999997</v>
      </c>
      <c r="G78" s="347">
        <v>280.41499999999996</v>
      </c>
      <c r="H78" s="348">
        <f t="shared" si="2"/>
        <v>0.6839772177744341</v>
      </c>
    </row>
    <row r="79" spans="1:8" s="28" customFormat="1" ht="15" customHeight="1" x14ac:dyDescent="0.25">
      <c r="A79" s="4" t="s">
        <v>280</v>
      </c>
      <c r="B79" s="104" t="s">
        <v>509</v>
      </c>
      <c r="C79" s="27">
        <f>Planilha2!B63</f>
        <v>187.72</v>
      </c>
      <c r="D79" s="278">
        <f>FOB!G79</f>
        <v>0.13</v>
      </c>
      <c r="E79" s="280">
        <f t="shared" si="1"/>
        <v>212.12360000000001</v>
      </c>
      <c r="F79" s="280">
        <v>332.40499999999997</v>
      </c>
      <c r="G79" s="347">
        <v>297.41499999999996</v>
      </c>
      <c r="H79" s="348">
        <f t="shared" si="2"/>
        <v>0.77074898785425083</v>
      </c>
    </row>
    <row r="80" spans="1:8" ht="15" customHeight="1" x14ac:dyDescent="0.25">
      <c r="A80" s="56" t="s">
        <v>12</v>
      </c>
      <c r="B80" s="57" t="s">
        <v>49</v>
      </c>
      <c r="C80" s="58" t="s">
        <v>1255</v>
      </c>
      <c r="D80" s="283" t="s">
        <v>500</v>
      </c>
      <c r="E80" s="282" t="s">
        <v>1013</v>
      </c>
      <c r="F80" s="59" t="s">
        <v>202</v>
      </c>
      <c r="G80" s="346" t="s">
        <v>203</v>
      </c>
      <c r="H80" s="346" t="s">
        <v>204</v>
      </c>
    </row>
    <row r="81" spans="1:8" ht="15" customHeight="1" x14ac:dyDescent="0.25">
      <c r="A81" s="66" t="s">
        <v>51</v>
      </c>
      <c r="B81" s="111" t="s">
        <v>216</v>
      </c>
      <c r="C81" s="27">
        <f>Planilha2!B65</f>
        <v>38.9</v>
      </c>
      <c r="D81" s="278">
        <f>FOB!G81</f>
        <v>0</v>
      </c>
      <c r="E81" s="280">
        <f t="shared" si="1"/>
        <v>38.9</v>
      </c>
      <c r="F81" s="280">
        <v>151.04999999999998</v>
      </c>
      <c r="G81" s="347">
        <v>135.15</v>
      </c>
      <c r="H81" s="348">
        <f t="shared" si="2"/>
        <v>2.8830334190231359</v>
      </c>
    </row>
    <row r="82" spans="1:8" ht="15" customHeight="1" x14ac:dyDescent="0.25">
      <c r="A82" s="66" t="s">
        <v>53</v>
      </c>
      <c r="B82" s="111" t="s">
        <v>217</v>
      </c>
      <c r="C82" s="27">
        <f>Planilha2!B66</f>
        <v>42.58</v>
      </c>
      <c r="D82" s="278">
        <f>FOB!G82</f>
        <v>0</v>
      </c>
      <c r="E82" s="280">
        <f t="shared" si="1"/>
        <v>42.58</v>
      </c>
      <c r="F82" s="280">
        <v>122.55</v>
      </c>
      <c r="G82" s="347">
        <v>109.64999999999999</v>
      </c>
      <c r="H82" s="348">
        <f t="shared" si="2"/>
        <v>1.8781117895725692</v>
      </c>
    </row>
    <row r="83" spans="1:8" s="28" customFormat="1" ht="15" customHeight="1" x14ac:dyDescent="0.25">
      <c r="A83" s="66" t="s">
        <v>57</v>
      </c>
      <c r="B83" s="111" t="s">
        <v>214</v>
      </c>
      <c r="C83" s="27">
        <f>Planilha2!B67</f>
        <v>42.58</v>
      </c>
      <c r="D83" s="278">
        <f>FOB!G83</f>
        <v>0</v>
      </c>
      <c r="E83" s="280">
        <f t="shared" si="1"/>
        <v>42.58</v>
      </c>
      <c r="F83" s="280">
        <v>93.004999999999995</v>
      </c>
      <c r="G83" s="347">
        <v>83.215000000000003</v>
      </c>
      <c r="H83" s="348">
        <f t="shared" si="2"/>
        <v>1.1842414279004227</v>
      </c>
    </row>
    <row r="84" spans="1:8" s="28" customFormat="1" ht="15" customHeight="1" x14ac:dyDescent="0.25">
      <c r="A84" s="66" t="s">
        <v>55</v>
      </c>
      <c r="B84" s="111" t="s">
        <v>215</v>
      </c>
      <c r="C84" s="27">
        <f>Planilha2!B68</f>
        <v>37.9</v>
      </c>
      <c r="D84" s="278">
        <f>FOB!G84</f>
        <v>0</v>
      </c>
      <c r="E84" s="280">
        <f t="shared" si="1"/>
        <v>37.9</v>
      </c>
      <c r="F84" s="280">
        <v>83.504999999999995</v>
      </c>
      <c r="G84" s="347">
        <v>74.715000000000003</v>
      </c>
      <c r="H84" s="348">
        <f t="shared" si="2"/>
        <v>1.2032981530343005</v>
      </c>
    </row>
    <row r="85" spans="1:8" s="28" customFormat="1" ht="15" customHeight="1" x14ac:dyDescent="0.25">
      <c r="A85" t="s">
        <v>1251</v>
      </c>
      <c r="B85" s="337" t="s">
        <v>1022</v>
      </c>
      <c r="C85" s="27">
        <f>Planilha2!B69</f>
        <v>18</v>
      </c>
      <c r="D85" s="278">
        <f>FOB!G85</f>
        <v>0</v>
      </c>
      <c r="E85" s="280">
        <f t="shared" ref="E85" si="7">C85*D85+C85</f>
        <v>18</v>
      </c>
      <c r="F85" s="280">
        <v>56.05</v>
      </c>
      <c r="G85" s="347">
        <v>50.15</v>
      </c>
      <c r="H85" s="348">
        <f t="shared" ref="H85" si="8">F85/C85-1</f>
        <v>2.1138888888888889</v>
      </c>
    </row>
    <row r="86" spans="1:8" ht="15" customHeight="1" x14ac:dyDescent="0.25">
      <c r="A86" s="56" t="s">
        <v>12</v>
      </c>
      <c r="B86" s="57" t="s">
        <v>60</v>
      </c>
      <c r="C86" s="58" t="s">
        <v>1255</v>
      </c>
      <c r="D86" s="282" t="s">
        <v>500</v>
      </c>
      <c r="E86" s="282" t="s">
        <v>1013</v>
      </c>
      <c r="F86" s="59" t="s">
        <v>202</v>
      </c>
      <c r="G86" s="346" t="s">
        <v>203</v>
      </c>
      <c r="H86" s="346" t="s">
        <v>204</v>
      </c>
    </row>
    <row r="87" spans="1:8" ht="15" customHeight="1" x14ac:dyDescent="0.25">
      <c r="A87" s="8" t="s">
        <v>61</v>
      </c>
      <c r="B87" s="112" t="s">
        <v>63</v>
      </c>
      <c r="C87" s="27">
        <f>Planilha2!B71</f>
        <v>53.9</v>
      </c>
      <c r="D87" s="278">
        <f>FOB!G87</f>
        <v>0</v>
      </c>
      <c r="E87" s="280">
        <f t="shared" si="1"/>
        <v>53.9</v>
      </c>
      <c r="F87" s="280">
        <v>103.55</v>
      </c>
      <c r="G87" s="347">
        <v>92.649999999999991</v>
      </c>
      <c r="H87" s="348">
        <f t="shared" si="2"/>
        <v>0.92115027829313534</v>
      </c>
    </row>
    <row r="88" spans="1:8" ht="15" customHeight="1" x14ac:dyDescent="0.25">
      <c r="A88" s="8" t="s">
        <v>64</v>
      </c>
      <c r="B88" s="102" t="s">
        <v>218</v>
      </c>
      <c r="C88" s="27">
        <f>Planilha2!B72</f>
        <v>47.9</v>
      </c>
      <c r="D88" s="278">
        <f>FOB!G88</f>
        <v>0</v>
      </c>
      <c r="E88" s="280">
        <f t="shared" ref="E88:E151" si="9">C88*D88+C88</f>
        <v>47.9</v>
      </c>
      <c r="F88" s="280">
        <v>80.655000000000001</v>
      </c>
      <c r="G88" s="347">
        <v>72.165000000000006</v>
      </c>
      <c r="H88" s="348">
        <f t="shared" ref="H88:H151" si="10">F88/C88-1</f>
        <v>0.68382045929018798</v>
      </c>
    </row>
    <row r="89" spans="1:8" ht="14.45" customHeight="1" x14ac:dyDescent="0.25">
      <c r="A89" s="8" t="s">
        <v>67</v>
      </c>
      <c r="B89" s="102" t="s">
        <v>219</v>
      </c>
      <c r="C89" s="27">
        <f>Planilha2!B73</f>
        <v>47.9</v>
      </c>
      <c r="D89" s="278">
        <f>FOB!G89</f>
        <v>0</v>
      </c>
      <c r="E89" s="280">
        <f t="shared" si="9"/>
        <v>47.9</v>
      </c>
      <c r="F89" s="280">
        <v>88.254999999999995</v>
      </c>
      <c r="G89" s="347">
        <v>78.965000000000003</v>
      </c>
      <c r="H89" s="348">
        <f t="shared" si="10"/>
        <v>0.84248434237995817</v>
      </c>
    </row>
    <row r="90" spans="1:8" ht="15" customHeight="1" x14ac:dyDescent="0.25">
      <c r="A90" s="8" t="s">
        <v>70</v>
      </c>
      <c r="B90" s="102" t="s">
        <v>220</v>
      </c>
      <c r="C90" s="27">
        <f>Planilha2!B74</f>
        <v>29.9</v>
      </c>
      <c r="D90" s="278">
        <f>FOB!G90</f>
        <v>0</v>
      </c>
      <c r="E90" s="280">
        <f t="shared" si="9"/>
        <v>29.9</v>
      </c>
      <c r="F90" s="280">
        <v>75.905000000000001</v>
      </c>
      <c r="G90" s="347">
        <v>67.915000000000006</v>
      </c>
      <c r="H90" s="348">
        <f t="shared" si="10"/>
        <v>1.5386287625418062</v>
      </c>
    </row>
    <row r="91" spans="1:8" ht="15" customHeight="1" x14ac:dyDescent="0.25">
      <c r="A91" s="9" t="s">
        <v>563</v>
      </c>
      <c r="B91" s="102" t="s">
        <v>221</v>
      </c>
      <c r="C91" s="27">
        <f>Planilha2!B75</f>
        <v>38.479999999999997</v>
      </c>
      <c r="D91" s="278">
        <f>FOB!G91</f>
        <v>0</v>
      </c>
      <c r="E91" s="280">
        <f t="shared" si="9"/>
        <v>38.479999999999997</v>
      </c>
      <c r="F91" s="280">
        <v>74.954999999999998</v>
      </c>
      <c r="G91" s="347">
        <v>67.064999999999998</v>
      </c>
      <c r="H91" s="348">
        <f t="shared" si="10"/>
        <v>0.94789501039501056</v>
      </c>
    </row>
    <row r="92" spans="1:8" ht="15" customHeight="1" x14ac:dyDescent="0.25">
      <c r="A92" s="66" t="s">
        <v>564</v>
      </c>
      <c r="B92" s="112" t="s">
        <v>73</v>
      </c>
      <c r="C92" s="27">
        <f>Planilha2!B76</f>
        <v>30.9</v>
      </c>
      <c r="D92" s="278">
        <f>FOB!G92</f>
        <v>0</v>
      </c>
      <c r="E92" s="280">
        <f t="shared" si="9"/>
        <v>30.9</v>
      </c>
      <c r="F92" s="280">
        <v>72.105000000000004</v>
      </c>
      <c r="G92" s="347">
        <v>64.515000000000001</v>
      </c>
      <c r="H92" s="348">
        <f t="shared" si="10"/>
        <v>1.3334951456310682</v>
      </c>
    </row>
    <row r="93" spans="1:8" ht="14.45" customHeight="1" x14ac:dyDescent="0.25">
      <c r="A93" s="66" t="s">
        <v>565</v>
      </c>
      <c r="B93" s="112" t="s">
        <v>74</v>
      </c>
      <c r="C93" s="27" t="e">
        <f>Planilha2!#REF!</f>
        <v>#REF!</v>
      </c>
      <c r="D93" s="278">
        <f>FOB!G93</f>
        <v>0</v>
      </c>
      <c r="E93" s="280" t="e">
        <f t="shared" ref="E93" si="11">C93*D93+C93</f>
        <v>#REF!</v>
      </c>
      <c r="F93" s="280">
        <v>52.154999999999994</v>
      </c>
      <c r="G93" s="347">
        <v>46.664999999999999</v>
      </c>
      <c r="H93" s="348" t="e">
        <f t="shared" ref="H93" si="12">F93/C93-1</f>
        <v>#REF!</v>
      </c>
    </row>
    <row r="94" spans="1:8" ht="15" customHeight="1" x14ac:dyDescent="0.25">
      <c r="A94" s="63" t="s">
        <v>562</v>
      </c>
      <c r="B94" s="112" t="s">
        <v>222</v>
      </c>
      <c r="C94" s="27">
        <f>Planilha2!B77</f>
        <v>40.9</v>
      </c>
      <c r="D94" s="278">
        <f>FOB!G93</f>
        <v>0</v>
      </c>
      <c r="E94" s="280">
        <f t="shared" si="9"/>
        <v>40.9</v>
      </c>
      <c r="F94" s="280">
        <v>75.905000000000001</v>
      </c>
      <c r="G94" s="347">
        <v>67.915000000000006</v>
      </c>
      <c r="H94" s="348">
        <f t="shared" si="10"/>
        <v>0.85586797066014686</v>
      </c>
    </row>
    <row r="95" spans="1:8" ht="15" customHeight="1" x14ac:dyDescent="0.25">
      <c r="A95" s="63" t="s">
        <v>76</v>
      </c>
      <c r="B95" s="112" t="s">
        <v>78</v>
      </c>
      <c r="C95" s="27">
        <f>Planilha2!B78</f>
        <v>37.299999999999997</v>
      </c>
      <c r="D95" s="278">
        <f>FOB!G94</f>
        <v>0</v>
      </c>
      <c r="E95" s="280">
        <f t="shared" si="9"/>
        <v>37.299999999999997</v>
      </c>
      <c r="F95" s="280">
        <v>72.105000000000004</v>
      </c>
      <c r="G95" s="347">
        <v>64.515000000000001</v>
      </c>
      <c r="H95" s="348">
        <f t="shared" si="10"/>
        <v>0.93310991957104572</v>
      </c>
    </row>
    <row r="96" spans="1:8" ht="15" customHeight="1" x14ac:dyDescent="0.25">
      <c r="A96" s="63" t="s">
        <v>881</v>
      </c>
      <c r="B96" s="112" t="s">
        <v>81</v>
      </c>
      <c r="C96" s="27">
        <f>Planilha2!B79</f>
        <v>43.9</v>
      </c>
      <c r="D96" s="278">
        <f>FOB!G95</f>
        <v>0</v>
      </c>
      <c r="E96" s="280">
        <f t="shared" si="9"/>
        <v>43.9</v>
      </c>
      <c r="F96" s="280">
        <v>80.655000000000001</v>
      </c>
      <c r="G96" s="347">
        <v>72.165000000000006</v>
      </c>
      <c r="H96" s="348">
        <f t="shared" si="10"/>
        <v>0.83724373576309796</v>
      </c>
    </row>
    <row r="97" spans="1:8" ht="15" customHeight="1" x14ac:dyDescent="0.25">
      <c r="A97" s="63" t="s">
        <v>561</v>
      </c>
      <c r="B97" s="112" t="s">
        <v>223</v>
      </c>
      <c r="C97" s="27">
        <f>Planilha2!B80</f>
        <v>39.9</v>
      </c>
      <c r="D97" s="278">
        <f>FOB!G96</f>
        <v>0</v>
      </c>
      <c r="E97" s="280">
        <f t="shared" si="9"/>
        <v>39.9</v>
      </c>
      <c r="F97" s="280">
        <v>74.954999999999998</v>
      </c>
      <c r="G97" s="347">
        <v>67.064999999999998</v>
      </c>
      <c r="H97" s="348">
        <f t="shared" si="10"/>
        <v>0.87857142857142856</v>
      </c>
    </row>
    <row r="98" spans="1:8" ht="15" customHeight="1" x14ac:dyDescent="0.25">
      <c r="A98" s="63" t="s">
        <v>560</v>
      </c>
      <c r="B98" s="112" t="s">
        <v>224</v>
      </c>
      <c r="C98" s="27">
        <f>Planilha2!B81</f>
        <v>34.9</v>
      </c>
      <c r="D98" s="278">
        <f>FOB!G97</f>
        <v>0</v>
      </c>
      <c r="E98" s="280">
        <f t="shared" si="9"/>
        <v>34.9</v>
      </c>
      <c r="F98" s="280">
        <v>78.754999999999995</v>
      </c>
      <c r="G98" s="347">
        <v>70.465000000000003</v>
      </c>
      <c r="H98" s="348">
        <f t="shared" si="10"/>
        <v>1.2565902578796559</v>
      </c>
    </row>
    <row r="99" spans="1:8" ht="15" customHeight="1" x14ac:dyDescent="0.25">
      <c r="A99" s="66" t="s">
        <v>83</v>
      </c>
      <c r="B99" s="112" t="s">
        <v>225</v>
      </c>
      <c r="C99" s="27">
        <f>Planilha2!B82</f>
        <v>45.9</v>
      </c>
      <c r="D99" s="278">
        <f>FOB!G98</f>
        <v>0</v>
      </c>
      <c r="E99" s="280">
        <f t="shared" si="9"/>
        <v>45.9</v>
      </c>
      <c r="F99" s="280">
        <v>85.405000000000001</v>
      </c>
      <c r="G99" s="347">
        <v>76.415000000000006</v>
      </c>
      <c r="H99" s="348">
        <f t="shared" si="10"/>
        <v>0.86067538126361653</v>
      </c>
    </row>
    <row r="100" spans="1:8" ht="15" customHeight="1" x14ac:dyDescent="0.25">
      <c r="A100" s="66" t="s">
        <v>850</v>
      </c>
      <c r="B100" s="112" t="s">
        <v>885</v>
      </c>
      <c r="C100" s="27">
        <f>Planilha2!B83</f>
        <v>33.86</v>
      </c>
      <c r="D100" s="278">
        <f>FOB!G99</f>
        <v>0</v>
      </c>
      <c r="E100" s="280">
        <f t="shared" si="9"/>
        <v>33.86</v>
      </c>
      <c r="F100" s="280">
        <v>71.155000000000001</v>
      </c>
      <c r="G100" s="347">
        <v>63.665000000000006</v>
      </c>
      <c r="H100" s="348">
        <f t="shared" si="10"/>
        <v>1.101447135262847</v>
      </c>
    </row>
    <row r="101" spans="1:8" ht="15" customHeight="1" x14ac:dyDescent="0.25">
      <c r="A101" s="56" t="s">
        <v>12</v>
      </c>
      <c r="B101" s="57" t="s">
        <v>85</v>
      </c>
      <c r="C101" s="58" t="s">
        <v>1255</v>
      </c>
      <c r="D101" s="282" t="s">
        <v>500</v>
      </c>
      <c r="E101" s="282" t="s">
        <v>1013</v>
      </c>
      <c r="F101" s="59" t="s">
        <v>202</v>
      </c>
      <c r="G101" s="346" t="s">
        <v>203</v>
      </c>
      <c r="H101" s="346" t="s">
        <v>204</v>
      </c>
    </row>
    <row r="102" spans="1:8" ht="15" customHeight="1" x14ac:dyDescent="0.25">
      <c r="A102" s="63" t="s">
        <v>86</v>
      </c>
      <c r="B102" s="111" t="s">
        <v>226</v>
      </c>
      <c r="C102" s="27">
        <f>Planilha2!B85</f>
        <v>54.48</v>
      </c>
      <c r="D102" s="285">
        <f>FOB!G101</f>
        <v>9.7500000000000003E-2</v>
      </c>
      <c r="E102" s="280">
        <f t="shared" si="9"/>
        <v>59.791799999999995</v>
      </c>
      <c r="F102" s="280">
        <v>94.905000000000001</v>
      </c>
      <c r="G102" s="347">
        <v>84.915000000000006</v>
      </c>
      <c r="H102" s="348">
        <f t="shared" si="10"/>
        <v>0.74201541850220276</v>
      </c>
    </row>
    <row r="103" spans="1:8" ht="15" customHeight="1" x14ac:dyDescent="0.25">
      <c r="A103" s="63" t="s">
        <v>88</v>
      </c>
      <c r="B103" s="111" t="s">
        <v>90</v>
      </c>
      <c r="C103" s="27">
        <f>Planilha2!B86</f>
        <v>47.476000000000006</v>
      </c>
      <c r="D103" s="285">
        <f>FOB!G102</f>
        <v>9.7500000000000003E-2</v>
      </c>
      <c r="E103" s="280">
        <f t="shared" si="9"/>
        <v>52.104910000000004</v>
      </c>
      <c r="F103" s="280">
        <v>104.405</v>
      </c>
      <c r="G103" s="347">
        <v>93.415000000000006</v>
      </c>
      <c r="H103" s="348">
        <f t="shared" si="10"/>
        <v>1.1991111298340211</v>
      </c>
    </row>
    <row r="104" spans="1:8" ht="15" customHeight="1" x14ac:dyDescent="0.25">
      <c r="A104" s="63" t="s">
        <v>91</v>
      </c>
      <c r="B104" s="111" t="s">
        <v>227</v>
      </c>
      <c r="C104" s="27">
        <f>Planilha2!B87</f>
        <v>42.9</v>
      </c>
      <c r="D104" s="285">
        <f>FOB!G103</f>
        <v>9.7500000000000003E-2</v>
      </c>
      <c r="E104" s="280">
        <f t="shared" si="9"/>
        <v>47.082749999999997</v>
      </c>
      <c r="F104" s="280">
        <v>123.405</v>
      </c>
      <c r="G104" s="347">
        <v>110.41500000000001</v>
      </c>
      <c r="H104" s="348">
        <f t="shared" si="10"/>
        <v>1.8765734265734269</v>
      </c>
    </row>
    <row r="105" spans="1:8" ht="15" customHeight="1" x14ac:dyDescent="0.25">
      <c r="A105" s="66" t="s">
        <v>93</v>
      </c>
      <c r="B105" s="112" t="s">
        <v>228</v>
      </c>
      <c r="C105" s="27">
        <f>Planilha2!B88</f>
        <v>33.9</v>
      </c>
      <c r="D105" s="285">
        <f>FOB!G104</f>
        <v>9.7500000000000003E-2</v>
      </c>
      <c r="E105" s="280">
        <f t="shared" si="9"/>
        <v>37.205249999999999</v>
      </c>
      <c r="F105" s="280">
        <v>64.504999999999995</v>
      </c>
      <c r="G105" s="347">
        <v>57.715000000000003</v>
      </c>
      <c r="H105" s="348">
        <f t="shared" si="10"/>
        <v>0.90280235988200586</v>
      </c>
    </row>
    <row r="106" spans="1:8" ht="15" customHeight="1" x14ac:dyDescent="0.25">
      <c r="A106" s="66" t="s">
        <v>842</v>
      </c>
      <c r="B106" s="112" t="s">
        <v>883</v>
      </c>
      <c r="C106" s="27">
        <f>Planilha2!B89</f>
        <v>37.9</v>
      </c>
      <c r="D106" s="285">
        <f>FOB!G105</f>
        <v>9.7500000000000003E-2</v>
      </c>
      <c r="E106" s="280">
        <f t="shared" si="9"/>
        <v>41.59525</v>
      </c>
      <c r="F106" s="280">
        <v>81.605000000000004</v>
      </c>
      <c r="G106" s="347">
        <v>73.015000000000001</v>
      </c>
      <c r="H106" s="348">
        <f t="shared" si="10"/>
        <v>1.153166226912929</v>
      </c>
    </row>
    <row r="107" spans="1:8" ht="15" customHeight="1" x14ac:dyDescent="0.25">
      <c r="A107" s="66" t="s">
        <v>95</v>
      </c>
      <c r="B107" s="112" t="s">
        <v>229</v>
      </c>
      <c r="C107" s="27">
        <f>Planilha2!B90</f>
        <v>9.9</v>
      </c>
      <c r="D107" s="285">
        <f>FOB!G106</f>
        <v>9.7500000000000003E-2</v>
      </c>
      <c r="E107" s="280">
        <f t="shared" si="9"/>
        <v>10.86525</v>
      </c>
      <c r="F107" s="280">
        <v>53.865000000000002</v>
      </c>
      <c r="G107" s="347">
        <v>48.195</v>
      </c>
      <c r="H107" s="348">
        <f t="shared" si="10"/>
        <v>4.4409090909090905</v>
      </c>
    </row>
    <row r="108" spans="1:8" ht="15" customHeight="1" x14ac:dyDescent="0.25">
      <c r="A108" s="66" t="s">
        <v>543</v>
      </c>
      <c r="B108" s="112" t="s">
        <v>230</v>
      </c>
      <c r="C108" s="27">
        <f>Planilha2!B91</f>
        <v>14.9</v>
      </c>
      <c r="D108" s="285">
        <f>FOB!G107</f>
        <v>9.7500000000000003E-2</v>
      </c>
      <c r="E108" s="280">
        <f t="shared" si="9"/>
        <v>16.35275</v>
      </c>
      <c r="F108" s="280">
        <v>34.104999999999997</v>
      </c>
      <c r="G108" s="347">
        <v>30.514999999999997</v>
      </c>
      <c r="H108" s="348">
        <f t="shared" si="10"/>
        <v>1.2889261744966438</v>
      </c>
    </row>
    <row r="109" spans="1:8" ht="15" customHeight="1" x14ac:dyDescent="0.25">
      <c r="A109" s="66" t="s">
        <v>548</v>
      </c>
      <c r="B109" s="112" t="s">
        <v>231</v>
      </c>
      <c r="C109" s="27">
        <f>Planilha2!B92</f>
        <v>9.9</v>
      </c>
      <c r="D109" s="285">
        <f>FOB!G108</f>
        <v>0</v>
      </c>
      <c r="E109" s="280">
        <f t="shared" si="9"/>
        <v>9.9</v>
      </c>
      <c r="F109" s="280">
        <v>28.404999999999998</v>
      </c>
      <c r="G109" s="347">
        <v>25.414999999999999</v>
      </c>
      <c r="H109" s="348">
        <f t="shared" si="10"/>
        <v>1.8691919191919188</v>
      </c>
    </row>
    <row r="110" spans="1:8" ht="15" customHeight="1" x14ac:dyDescent="0.3">
      <c r="A110" s="66"/>
      <c r="B110" s="11" t="s">
        <v>100</v>
      </c>
      <c r="C110" s="58" t="s">
        <v>1255</v>
      </c>
      <c r="D110" s="282" t="s">
        <v>500</v>
      </c>
      <c r="E110" s="282" t="s">
        <v>1013</v>
      </c>
      <c r="F110" s="59" t="s">
        <v>202</v>
      </c>
      <c r="G110" s="346" t="s">
        <v>203</v>
      </c>
      <c r="H110" s="346" t="s">
        <v>204</v>
      </c>
    </row>
    <row r="111" spans="1:8" ht="15" customHeight="1" x14ac:dyDescent="0.25">
      <c r="A111" s="5" t="s">
        <v>101</v>
      </c>
      <c r="B111" s="113" t="s">
        <v>232</v>
      </c>
      <c r="C111" s="277">
        <f>Planilha2!B95</f>
        <v>29.9</v>
      </c>
      <c r="D111" s="285">
        <f>FOB!G110</f>
        <v>9.7500000000000003E-2</v>
      </c>
      <c r="E111" s="280">
        <f t="shared" si="9"/>
        <v>32.815249999999999</v>
      </c>
      <c r="F111" s="280">
        <v>85.405000000000001</v>
      </c>
      <c r="G111" s="347">
        <v>76.415000000000006</v>
      </c>
      <c r="H111" s="348">
        <f t="shared" si="10"/>
        <v>1.8563545150501675</v>
      </c>
    </row>
    <row r="112" spans="1:8" ht="15" customHeight="1" x14ac:dyDescent="0.25">
      <c r="A112" s="5" t="s">
        <v>104</v>
      </c>
      <c r="B112" s="113" t="s">
        <v>233</v>
      </c>
      <c r="C112" s="27">
        <f>Planilha2!B95</f>
        <v>29.9</v>
      </c>
      <c r="D112" s="285">
        <f>FOB!G111</f>
        <v>9.7500000000000003E-2</v>
      </c>
      <c r="E112" s="280">
        <f t="shared" si="9"/>
        <v>32.815249999999999</v>
      </c>
      <c r="F112" s="280">
        <v>158.65</v>
      </c>
      <c r="G112" s="347">
        <v>141.94999999999999</v>
      </c>
      <c r="H112" s="348">
        <f t="shared" si="10"/>
        <v>4.3060200668896327</v>
      </c>
    </row>
    <row r="113" spans="1:8" ht="15" customHeight="1" x14ac:dyDescent="0.25">
      <c r="A113" s="5" t="s">
        <v>107</v>
      </c>
      <c r="B113" s="113" t="s">
        <v>109</v>
      </c>
      <c r="C113" s="27">
        <f>Planilha2!B96</f>
        <v>53.9</v>
      </c>
      <c r="D113" s="285">
        <f>FOB!G112</f>
        <v>9.7500000000000003E-2</v>
      </c>
      <c r="E113" s="280">
        <f t="shared" si="9"/>
        <v>59.155249999999995</v>
      </c>
      <c r="F113" s="280">
        <v>94.905000000000001</v>
      </c>
      <c r="G113" s="347">
        <v>84.915000000000006</v>
      </c>
      <c r="H113" s="348">
        <f t="shared" si="10"/>
        <v>0.76076066790352503</v>
      </c>
    </row>
    <row r="114" spans="1:8" ht="15" customHeight="1" x14ac:dyDescent="0.25">
      <c r="A114" s="5" t="s">
        <v>110</v>
      </c>
      <c r="B114" s="113" t="s">
        <v>112</v>
      </c>
      <c r="C114" s="27">
        <f>Planilha2!B97</f>
        <v>29.9</v>
      </c>
      <c r="D114" s="285">
        <f>FOB!G113</f>
        <v>9.7500000000000003E-2</v>
      </c>
      <c r="E114" s="280">
        <f t="shared" si="9"/>
        <v>32.815249999999999</v>
      </c>
      <c r="F114" s="280">
        <v>168.15</v>
      </c>
      <c r="G114" s="347">
        <v>150.44999999999999</v>
      </c>
      <c r="H114" s="348">
        <f t="shared" si="10"/>
        <v>4.6237458193979935</v>
      </c>
    </row>
    <row r="115" spans="1:8" ht="15" customHeight="1" x14ac:dyDescent="0.25">
      <c r="A115" s="5" t="s">
        <v>844</v>
      </c>
      <c r="B115" s="113" t="s">
        <v>886</v>
      </c>
      <c r="C115" s="27">
        <f>Planilha2!B98</f>
        <v>36.9</v>
      </c>
      <c r="D115" s="285">
        <f>FOB!G114</f>
        <v>9.7500000000000003E-2</v>
      </c>
      <c r="E115" s="280">
        <f t="shared" si="9"/>
        <v>40.497749999999996</v>
      </c>
      <c r="F115" s="280">
        <v>188.005</v>
      </c>
      <c r="G115" s="347">
        <v>168.215</v>
      </c>
      <c r="H115" s="348">
        <f t="shared" si="10"/>
        <v>4.094986449864499</v>
      </c>
    </row>
    <row r="116" spans="1:8" ht="15" customHeight="1" x14ac:dyDescent="0.25">
      <c r="A116" s="56" t="s">
        <v>12</v>
      </c>
      <c r="B116" s="57" t="s">
        <v>113</v>
      </c>
      <c r="C116" s="58" t="s">
        <v>1255</v>
      </c>
      <c r="D116" s="283" t="s">
        <v>500</v>
      </c>
      <c r="E116" s="282" t="s">
        <v>1013</v>
      </c>
      <c r="F116" s="59" t="s">
        <v>202</v>
      </c>
      <c r="G116" s="346" t="s">
        <v>203</v>
      </c>
      <c r="H116" s="346" t="s">
        <v>204</v>
      </c>
    </row>
    <row r="117" spans="1:8" ht="15" customHeight="1" x14ac:dyDescent="0.25">
      <c r="A117" s="66" t="s">
        <v>1252</v>
      </c>
      <c r="B117" s="112" t="s">
        <v>116</v>
      </c>
      <c r="C117" s="277">
        <f>Planilha2!B101</f>
        <v>32.9</v>
      </c>
      <c r="D117" s="285">
        <f>FOB!G116</f>
        <v>0</v>
      </c>
      <c r="E117" s="280">
        <f t="shared" si="9"/>
        <v>32.9</v>
      </c>
      <c r="F117" s="280">
        <v>80.655000000000001</v>
      </c>
      <c r="G117" s="347">
        <v>72.165000000000006</v>
      </c>
      <c r="H117" s="348">
        <f t="shared" si="10"/>
        <v>1.451519756838906</v>
      </c>
    </row>
    <row r="118" spans="1:8" ht="15" customHeight="1" x14ac:dyDescent="0.25">
      <c r="A118" s="66" t="s">
        <v>544</v>
      </c>
      <c r="B118" s="112" t="s">
        <v>117</v>
      </c>
      <c r="C118" s="27">
        <f>Planilha2!B101</f>
        <v>32.9</v>
      </c>
      <c r="D118" s="285">
        <f>FOB!G117</f>
        <v>0</v>
      </c>
      <c r="E118" s="280">
        <f t="shared" si="9"/>
        <v>32.9</v>
      </c>
      <c r="F118" s="280">
        <v>80.655000000000001</v>
      </c>
      <c r="G118" s="347">
        <v>72.165000000000006</v>
      </c>
      <c r="H118" s="348">
        <f t="shared" si="10"/>
        <v>1.451519756838906</v>
      </c>
    </row>
    <row r="119" spans="1:8" ht="15" customHeight="1" x14ac:dyDescent="0.25">
      <c r="A119" s="66" t="s">
        <v>545</v>
      </c>
      <c r="B119" s="112" t="s">
        <v>234</v>
      </c>
      <c r="C119" s="27">
        <f>Planilha2!B102</f>
        <v>39.9</v>
      </c>
      <c r="D119" s="285">
        <f>FOB!G118</f>
        <v>0</v>
      </c>
      <c r="E119" s="280">
        <f t="shared" si="9"/>
        <v>39.9</v>
      </c>
      <c r="F119" s="280">
        <v>90.155000000000001</v>
      </c>
      <c r="G119" s="347">
        <v>80.665000000000006</v>
      </c>
      <c r="H119" s="348">
        <f t="shared" si="10"/>
        <v>1.2595238095238095</v>
      </c>
    </row>
    <row r="120" spans="1:8" ht="15" customHeight="1" x14ac:dyDescent="0.25">
      <c r="A120" s="66" t="s">
        <v>119</v>
      </c>
      <c r="B120" s="112" t="s">
        <v>121</v>
      </c>
      <c r="C120" s="27">
        <f>Planilha2!B103</f>
        <v>44.9</v>
      </c>
      <c r="D120" s="285">
        <f>FOB!G119</f>
        <v>0</v>
      </c>
      <c r="E120" s="280">
        <f t="shared" si="9"/>
        <v>44.9</v>
      </c>
      <c r="F120" s="280">
        <v>85.405000000000001</v>
      </c>
      <c r="G120" s="347">
        <v>76.415000000000006</v>
      </c>
      <c r="H120" s="348">
        <f t="shared" si="10"/>
        <v>0.90211581291759479</v>
      </c>
    </row>
    <row r="121" spans="1:8" ht="15" customHeight="1" x14ac:dyDescent="0.25">
      <c r="A121" s="66" t="s">
        <v>122</v>
      </c>
      <c r="B121" s="112" t="s">
        <v>235</v>
      </c>
      <c r="C121" s="27">
        <f>Planilha2!B104</f>
        <v>26.9</v>
      </c>
      <c r="D121" s="285">
        <f>FOB!G120</f>
        <v>0</v>
      </c>
      <c r="E121" s="280">
        <f t="shared" si="9"/>
        <v>26.9</v>
      </c>
      <c r="F121" s="280">
        <v>90.155000000000001</v>
      </c>
      <c r="G121" s="347">
        <v>80.665000000000006</v>
      </c>
      <c r="H121" s="348">
        <f t="shared" si="10"/>
        <v>2.3514869888475838</v>
      </c>
    </row>
    <row r="122" spans="1:8" ht="15" customHeight="1" x14ac:dyDescent="0.25">
      <c r="A122" s="4" t="s">
        <v>550</v>
      </c>
      <c r="B122" s="113" t="s">
        <v>552</v>
      </c>
      <c r="C122" s="27">
        <f>Planilha2!B105</f>
        <v>28.9</v>
      </c>
      <c r="D122" s="285">
        <f>FOB!G121</f>
        <v>0</v>
      </c>
      <c r="E122" s="280">
        <f t="shared" si="9"/>
        <v>28.9</v>
      </c>
      <c r="F122" s="280">
        <v>92.055000000000007</v>
      </c>
      <c r="G122" s="347">
        <v>82.365000000000009</v>
      </c>
      <c r="H122" s="348">
        <f t="shared" si="10"/>
        <v>2.1852941176470591</v>
      </c>
    </row>
    <row r="123" spans="1:8" ht="15" customHeight="1" x14ac:dyDescent="0.25">
      <c r="A123" s="4" t="s">
        <v>551</v>
      </c>
      <c r="B123" s="104" t="s">
        <v>553</v>
      </c>
      <c r="C123" s="27">
        <f>Planilha2!B106</f>
        <v>42.768000000000001</v>
      </c>
      <c r="D123" s="285">
        <f>FOB!G122</f>
        <v>0</v>
      </c>
      <c r="E123" s="280">
        <f t="shared" si="9"/>
        <v>42.768000000000001</v>
      </c>
      <c r="F123" s="280">
        <v>94.905000000000001</v>
      </c>
      <c r="G123" s="347">
        <v>84.915000000000006</v>
      </c>
      <c r="H123" s="348">
        <f t="shared" si="10"/>
        <v>1.2190656565656566</v>
      </c>
    </row>
    <row r="124" spans="1:8" ht="15" customHeight="1" x14ac:dyDescent="0.25">
      <c r="A124" s="4" t="s">
        <v>846</v>
      </c>
      <c r="B124" s="104" t="s">
        <v>900</v>
      </c>
      <c r="C124" s="27">
        <f>Planilha2!B107</f>
        <v>44.71200000000001</v>
      </c>
      <c r="D124" s="285">
        <f>FOB!G123</f>
        <v>0</v>
      </c>
      <c r="E124" s="280">
        <f t="shared" si="9"/>
        <v>44.71200000000001</v>
      </c>
      <c r="F124" s="280">
        <v>93.954999999999998</v>
      </c>
      <c r="G124" s="347">
        <v>84.064999999999998</v>
      </c>
      <c r="H124" s="348">
        <f t="shared" si="10"/>
        <v>1.1013374485596703</v>
      </c>
    </row>
    <row r="125" spans="1:8" ht="15" customHeight="1" x14ac:dyDescent="0.25">
      <c r="A125" s="4" t="s">
        <v>556</v>
      </c>
      <c r="B125" s="104" t="s">
        <v>558</v>
      </c>
      <c r="C125" s="27">
        <f>Planilha2!B108</f>
        <v>44.91</v>
      </c>
      <c r="D125" s="285">
        <f>FOB!G124</f>
        <v>0</v>
      </c>
      <c r="E125" s="280">
        <f t="shared" si="9"/>
        <v>44.91</v>
      </c>
      <c r="F125" s="280">
        <v>149.05500000000001</v>
      </c>
      <c r="G125" s="347">
        <v>133.36500000000001</v>
      </c>
      <c r="H125" s="348">
        <f t="shared" si="10"/>
        <v>2.318971275885104</v>
      </c>
    </row>
    <row r="126" spans="1:8" ht="15" customHeight="1" x14ac:dyDescent="0.25">
      <c r="A126" s="4" t="s">
        <v>557</v>
      </c>
      <c r="B126" s="104" t="s">
        <v>559</v>
      </c>
      <c r="C126" s="27">
        <f>Planilha2!B109</f>
        <v>29.99</v>
      </c>
      <c r="D126" s="285">
        <f>FOB!G125</f>
        <v>0</v>
      </c>
      <c r="E126" s="280">
        <f t="shared" si="9"/>
        <v>29.99</v>
      </c>
      <c r="F126" s="280">
        <v>164.255</v>
      </c>
      <c r="G126" s="347">
        <v>146.965</v>
      </c>
      <c r="H126" s="348">
        <f t="shared" si="10"/>
        <v>4.4769923307769259</v>
      </c>
    </row>
    <row r="127" spans="1:8" ht="15" customHeight="1" x14ac:dyDescent="0.25">
      <c r="A127" s="56" t="s">
        <v>12</v>
      </c>
      <c r="B127" s="57" t="s">
        <v>124</v>
      </c>
      <c r="C127" s="58" t="s">
        <v>1255</v>
      </c>
      <c r="D127" s="282" t="s">
        <v>500</v>
      </c>
      <c r="E127" s="282" t="s">
        <v>1013</v>
      </c>
      <c r="F127" s="59" t="s">
        <v>202</v>
      </c>
      <c r="G127" s="346" t="s">
        <v>203</v>
      </c>
      <c r="H127" s="346" t="s">
        <v>204</v>
      </c>
    </row>
    <row r="128" spans="1:8" ht="15" customHeight="1" x14ac:dyDescent="0.25">
      <c r="A128" s="63" t="s">
        <v>1015</v>
      </c>
      <c r="B128" s="112" t="s">
        <v>236</v>
      </c>
      <c r="C128" s="277">
        <f>Planilha2!B112</f>
        <v>39.9</v>
      </c>
      <c r="D128" s="285">
        <f>FOB!G127</f>
        <v>6.5000000000000002E-2</v>
      </c>
      <c r="E128" s="280">
        <f t="shared" si="9"/>
        <v>42.493499999999997</v>
      </c>
      <c r="F128" s="280">
        <v>85.405000000000001</v>
      </c>
      <c r="G128" s="347">
        <v>76.415000000000006</v>
      </c>
      <c r="H128" s="348">
        <f t="shared" si="10"/>
        <v>1.1404761904761904</v>
      </c>
    </row>
    <row r="129" spans="1:8" ht="15" customHeight="1" x14ac:dyDescent="0.25">
      <c r="A129" s="63" t="s">
        <v>546</v>
      </c>
      <c r="B129" s="112" t="s">
        <v>547</v>
      </c>
      <c r="C129" s="27">
        <f>Planilha2!B112</f>
        <v>39.9</v>
      </c>
      <c r="D129" s="285">
        <f>FOB!G128</f>
        <v>6.5000000000000002E-2</v>
      </c>
      <c r="E129" s="280">
        <f t="shared" si="9"/>
        <v>42.493499999999997</v>
      </c>
      <c r="F129" s="280">
        <v>74.954999999999998</v>
      </c>
      <c r="G129" s="347">
        <v>67.064999999999998</v>
      </c>
      <c r="H129" s="348">
        <f t="shared" si="10"/>
        <v>0.87857142857142856</v>
      </c>
    </row>
    <row r="130" spans="1:8" ht="15" customHeight="1" x14ac:dyDescent="0.25">
      <c r="A130" s="63" t="s">
        <v>898</v>
      </c>
      <c r="B130" s="112" t="s">
        <v>238</v>
      </c>
      <c r="C130" s="27">
        <f>Planilha2!B113</f>
        <v>34.9</v>
      </c>
      <c r="D130" s="285">
        <f>FOB!G129</f>
        <v>6.5000000000000002E-2</v>
      </c>
      <c r="E130" s="280">
        <f t="shared" si="9"/>
        <v>37.168500000000002</v>
      </c>
      <c r="F130" s="280">
        <v>60.704999999999998</v>
      </c>
      <c r="G130" s="347">
        <v>54.314999999999998</v>
      </c>
      <c r="H130" s="348">
        <f t="shared" si="10"/>
        <v>0.73939828080229231</v>
      </c>
    </row>
    <row r="131" spans="1:8" ht="15" customHeight="1" x14ac:dyDescent="0.25">
      <c r="A131" s="56" t="s">
        <v>12</v>
      </c>
      <c r="B131" s="57" t="s">
        <v>129</v>
      </c>
      <c r="C131" s="58" t="s">
        <v>1255</v>
      </c>
      <c r="D131" s="282" t="s">
        <v>500</v>
      </c>
      <c r="E131" s="282" t="s">
        <v>1013</v>
      </c>
      <c r="F131" s="59" t="s">
        <v>202</v>
      </c>
      <c r="G131" s="346" t="s">
        <v>203</v>
      </c>
      <c r="H131" s="346" t="s">
        <v>204</v>
      </c>
    </row>
    <row r="132" spans="1:8" ht="15" customHeight="1" x14ac:dyDescent="0.25">
      <c r="A132" s="66" t="s">
        <v>130</v>
      </c>
      <c r="B132" s="112" t="s">
        <v>239</v>
      </c>
      <c r="C132" s="277">
        <f>Planilha2!B116</f>
        <v>38.9</v>
      </c>
      <c r="D132" s="279">
        <f>FOB!G131</f>
        <v>0</v>
      </c>
      <c r="E132" s="280">
        <f t="shared" si="9"/>
        <v>38.9</v>
      </c>
      <c r="F132" s="280">
        <v>103.55</v>
      </c>
      <c r="G132" s="347">
        <v>92.649999999999991</v>
      </c>
      <c r="H132" s="348">
        <f t="shared" si="10"/>
        <v>1.6619537275064267</v>
      </c>
    </row>
    <row r="133" spans="1:8" ht="15" customHeight="1" x14ac:dyDescent="0.25">
      <c r="A133" s="66" t="s">
        <v>131</v>
      </c>
      <c r="B133" s="112" t="s">
        <v>133</v>
      </c>
      <c r="C133" s="27">
        <f>Planilha2!B116</f>
        <v>38.9</v>
      </c>
      <c r="D133" s="279">
        <f>FOB!G132</f>
        <v>0</v>
      </c>
      <c r="E133" s="280">
        <f t="shared" si="9"/>
        <v>38.9</v>
      </c>
      <c r="F133" s="280">
        <v>75.905000000000001</v>
      </c>
      <c r="G133" s="347">
        <v>67.915000000000006</v>
      </c>
      <c r="H133" s="348">
        <f t="shared" si="10"/>
        <v>0.95128534704370193</v>
      </c>
    </row>
    <row r="134" spans="1:8" ht="15" customHeight="1" x14ac:dyDescent="0.25">
      <c r="A134" s="333" t="s">
        <v>134</v>
      </c>
      <c r="B134" s="270" t="s">
        <v>240</v>
      </c>
      <c r="C134" s="27">
        <f>Planilha2!B117</f>
        <v>17.899999999999999</v>
      </c>
      <c r="D134" s="279">
        <f>FOB!G133</f>
        <v>9.7500000000000003E-2</v>
      </c>
      <c r="E134" s="280">
        <f t="shared" si="9"/>
        <v>19.645249999999997</v>
      </c>
      <c r="F134" s="280">
        <v>47.404999999999994</v>
      </c>
      <c r="G134" s="347">
        <v>42.414999999999999</v>
      </c>
      <c r="H134" s="348">
        <f t="shared" si="10"/>
        <v>1.6483240223463684</v>
      </c>
    </row>
    <row r="135" spans="1:8" ht="15" customHeight="1" x14ac:dyDescent="0.25">
      <c r="A135" s="56" t="s">
        <v>12</v>
      </c>
      <c r="B135" s="57" t="s">
        <v>999</v>
      </c>
      <c r="C135" s="58" t="s">
        <v>1255</v>
      </c>
      <c r="D135" s="283" t="s">
        <v>500</v>
      </c>
      <c r="E135" s="282" t="s">
        <v>1013</v>
      </c>
      <c r="F135" s="59" t="s">
        <v>202</v>
      </c>
      <c r="G135" s="346" t="s">
        <v>203</v>
      </c>
      <c r="H135" s="346" t="s">
        <v>204</v>
      </c>
    </row>
    <row r="136" spans="1:8" ht="15" customHeight="1" x14ac:dyDescent="0.25">
      <c r="A136" s="62" t="s">
        <v>1002</v>
      </c>
      <c r="B136" s="274" t="s">
        <v>1004</v>
      </c>
      <c r="C136" s="277">
        <f>Planilha2!B120</f>
        <v>9.9</v>
      </c>
      <c r="D136" s="278">
        <f>FOB!G135</f>
        <v>0</v>
      </c>
      <c r="E136" s="280">
        <f t="shared" si="9"/>
        <v>9.9</v>
      </c>
      <c r="F136" s="280">
        <v>20.9</v>
      </c>
      <c r="G136" s="347">
        <v>18.7</v>
      </c>
      <c r="H136" s="348">
        <f t="shared" si="10"/>
        <v>1.1111111111111107</v>
      </c>
    </row>
    <row r="137" spans="1:8" ht="15" customHeight="1" x14ac:dyDescent="0.25">
      <c r="A137" s="62" t="s">
        <v>1003</v>
      </c>
      <c r="B137" s="274" t="s">
        <v>1005</v>
      </c>
      <c r="C137" s="27">
        <f>Planilha2!B120</f>
        <v>9.9</v>
      </c>
      <c r="D137" s="278">
        <f>FOB!G136</f>
        <v>0</v>
      </c>
      <c r="E137" s="280">
        <f t="shared" si="9"/>
        <v>9.9</v>
      </c>
      <c r="F137" s="280">
        <v>20.9</v>
      </c>
      <c r="G137" s="347">
        <v>18.7</v>
      </c>
      <c r="H137" s="348">
        <f t="shared" si="10"/>
        <v>1.1111111111111107</v>
      </c>
    </row>
    <row r="138" spans="1:8" ht="15" customHeight="1" x14ac:dyDescent="0.25">
      <c r="A138" s="271" t="s">
        <v>12</v>
      </c>
      <c r="B138" s="272" t="s">
        <v>271</v>
      </c>
      <c r="C138" s="58" t="s">
        <v>1255</v>
      </c>
      <c r="D138" s="284" t="s">
        <v>500</v>
      </c>
      <c r="E138" s="282" t="s">
        <v>1013</v>
      </c>
      <c r="F138" s="59" t="s">
        <v>202</v>
      </c>
      <c r="G138" s="346" t="s">
        <v>203</v>
      </c>
      <c r="H138" s="346" t="s">
        <v>204</v>
      </c>
    </row>
    <row r="139" spans="1:8" ht="15" customHeight="1" x14ac:dyDescent="0.25">
      <c r="A139" s="66" t="s">
        <v>902</v>
      </c>
      <c r="B139" s="116" t="s">
        <v>272</v>
      </c>
      <c r="C139" s="277">
        <f>Planilha2!B123</f>
        <v>37.9</v>
      </c>
      <c r="D139" s="285">
        <f>FOB!G138</f>
        <v>7.8E-2</v>
      </c>
      <c r="E139" s="280">
        <f t="shared" si="9"/>
        <v>40.856200000000001</v>
      </c>
      <c r="F139" s="280">
        <v>92.055000000000007</v>
      </c>
      <c r="G139" s="347">
        <v>82.365000000000009</v>
      </c>
      <c r="H139" s="348">
        <f t="shared" si="10"/>
        <v>1.4288918205804753</v>
      </c>
    </row>
    <row r="140" spans="1:8" ht="15" customHeight="1" x14ac:dyDescent="0.25">
      <c r="A140" s="66" t="s">
        <v>140</v>
      </c>
      <c r="B140" s="105" t="s">
        <v>273</v>
      </c>
      <c r="C140" s="27">
        <f>Planilha2!B123</f>
        <v>37.9</v>
      </c>
      <c r="D140" s="285">
        <f>FOB!G139</f>
        <v>7.8E-2</v>
      </c>
      <c r="E140" s="280">
        <f t="shared" si="9"/>
        <v>40.856200000000001</v>
      </c>
      <c r="F140" s="280">
        <v>109.155</v>
      </c>
      <c r="G140" s="347">
        <v>97.665000000000006</v>
      </c>
      <c r="H140" s="348">
        <f t="shared" si="10"/>
        <v>1.8800791556728234</v>
      </c>
    </row>
    <row r="141" spans="1:8" ht="15" customHeight="1" x14ac:dyDescent="0.25">
      <c r="A141" s="66" t="s">
        <v>140</v>
      </c>
      <c r="B141" s="105" t="s">
        <v>273</v>
      </c>
      <c r="C141" s="27">
        <f>Planilha2!B124</f>
        <v>49.9</v>
      </c>
      <c r="D141" s="285">
        <f>FOB!G140</f>
        <v>7.8E-2</v>
      </c>
      <c r="E141" s="280">
        <f t="shared" si="9"/>
        <v>53.792200000000001</v>
      </c>
      <c r="F141" s="280">
        <v>109.155</v>
      </c>
      <c r="G141" s="347">
        <v>97.665000000000006</v>
      </c>
      <c r="H141" s="348">
        <f t="shared" si="10"/>
        <v>1.1874749498997996</v>
      </c>
    </row>
    <row r="142" spans="1:8" ht="15" customHeight="1" x14ac:dyDescent="0.25">
      <c r="A142" s="66" t="s">
        <v>143</v>
      </c>
      <c r="B142" s="116" t="s">
        <v>245</v>
      </c>
      <c r="C142" s="27">
        <f>Planilha2!B125</f>
        <v>49.9</v>
      </c>
      <c r="D142" s="285">
        <f>FOB!G141</f>
        <v>7.8E-2</v>
      </c>
      <c r="E142" s="280">
        <f t="shared" si="9"/>
        <v>53.792200000000001</v>
      </c>
      <c r="F142" s="280">
        <v>112.005</v>
      </c>
      <c r="G142" s="347">
        <v>100.215</v>
      </c>
      <c r="H142" s="348">
        <f t="shared" si="10"/>
        <v>1.2445891783567133</v>
      </c>
    </row>
    <row r="143" spans="1:8" ht="15" customHeight="1" x14ac:dyDescent="0.25">
      <c r="A143" s="66" t="s">
        <v>884</v>
      </c>
      <c r="B143" s="116" t="s">
        <v>274</v>
      </c>
      <c r="C143" s="27">
        <f>Planilha2!B126</f>
        <v>36.9</v>
      </c>
      <c r="D143" s="285">
        <f>FOB!G141</f>
        <v>7.8E-2</v>
      </c>
      <c r="E143" s="280">
        <f t="shared" si="9"/>
        <v>39.778199999999998</v>
      </c>
      <c r="F143" s="280">
        <v>85.405000000000001</v>
      </c>
      <c r="G143" s="347">
        <v>76.415000000000006</v>
      </c>
      <c r="H143" s="348">
        <f t="shared" si="10"/>
        <v>1.31449864498645</v>
      </c>
    </row>
    <row r="144" spans="1:8" ht="15" customHeight="1" x14ac:dyDescent="0.25">
      <c r="A144" s="56" t="s">
        <v>12</v>
      </c>
      <c r="B144" s="57" t="s">
        <v>241</v>
      </c>
      <c r="C144" s="58" t="s">
        <v>1255</v>
      </c>
      <c r="D144" s="282" t="s">
        <v>500</v>
      </c>
      <c r="E144" s="282" t="s">
        <v>1013</v>
      </c>
      <c r="F144" s="59" t="s">
        <v>202</v>
      </c>
      <c r="G144" s="346" t="s">
        <v>203</v>
      </c>
      <c r="H144" s="346" t="s">
        <v>204</v>
      </c>
    </row>
    <row r="145" spans="1:8" ht="15" customHeight="1" x14ac:dyDescent="0.25">
      <c r="A145" s="334" t="s">
        <v>148</v>
      </c>
      <c r="B145" s="117" t="s">
        <v>246</v>
      </c>
      <c r="C145" s="27">
        <f>Planilha2!B128</f>
        <v>269</v>
      </c>
      <c r="D145" s="285">
        <f>FOB!G143</f>
        <v>7.8E-2</v>
      </c>
      <c r="E145" s="280">
        <f t="shared" si="9"/>
        <v>289.98199999999997</v>
      </c>
      <c r="F145" s="280">
        <v>512.04999999999995</v>
      </c>
      <c r="G145" s="347">
        <v>458.15</v>
      </c>
      <c r="H145" s="348">
        <f t="shared" si="10"/>
        <v>0.90353159851301101</v>
      </c>
    </row>
    <row r="146" spans="1:8" ht="15" customHeight="1" x14ac:dyDescent="0.25">
      <c r="A146" s="334" t="s">
        <v>149</v>
      </c>
      <c r="B146" s="117" t="s">
        <v>247</v>
      </c>
      <c r="C146" s="27">
        <f>Planilha2!B129</f>
        <v>269</v>
      </c>
      <c r="D146" s="285">
        <f>FOB!G144</f>
        <v>7.8E-2</v>
      </c>
      <c r="E146" s="280">
        <f t="shared" si="9"/>
        <v>289.98199999999997</v>
      </c>
      <c r="F146" s="280">
        <v>512.04999999999995</v>
      </c>
      <c r="G146" s="347">
        <v>458.15</v>
      </c>
      <c r="H146" s="348">
        <f t="shared" si="10"/>
        <v>0.90353159851301101</v>
      </c>
    </row>
    <row r="147" spans="1:8" ht="15" customHeight="1" x14ac:dyDescent="0.25">
      <c r="A147" s="334" t="s">
        <v>151</v>
      </c>
      <c r="B147" s="118" t="s">
        <v>248</v>
      </c>
      <c r="C147" s="27">
        <f>Planilha2!B130</f>
        <v>269</v>
      </c>
      <c r="D147" s="285">
        <f>FOB!G145</f>
        <v>7.8E-2</v>
      </c>
      <c r="E147" s="280">
        <f t="shared" si="9"/>
        <v>289.98199999999997</v>
      </c>
      <c r="F147" s="280">
        <v>512.04999999999995</v>
      </c>
      <c r="G147" s="347">
        <v>458.15</v>
      </c>
      <c r="H147" s="348">
        <f t="shared" si="10"/>
        <v>0.90353159851301101</v>
      </c>
    </row>
    <row r="148" spans="1:8" ht="15" customHeight="1" x14ac:dyDescent="0.25">
      <c r="A148" s="334" t="s">
        <v>152</v>
      </c>
      <c r="B148" s="118" t="s">
        <v>249</v>
      </c>
      <c r="C148" s="27">
        <f>Planilha2!B131</f>
        <v>269</v>
      </c>
      <c r="D148" s="285">
        <f>FOB!G146</f>
        <v>7.8E-2</v>
      </c>
      <c r="E148" s="280">
        <f t="shared" si="9"/>
        <v>289.98199999999997</v>
      </c>
      <c r="F148" s="280">
        <v>512.04999999999995</v>
      </c>
      <c r="G148" s="347">
        <v>458.15</v>
      </c>
      <c r="H148" s="348">
        <f t="shared" si="10"/>
        <v>0.90353159851301101</v>
      </c>
    </row>
    <row r="149" spans="1:8" ht="15" customHeight="1" x14ac:dyDescent="0.25">
      <c r="A149" s="1" t="s">
        <v>12</v>
      </c>
      <c r="B149" s="13" t="s">
        <v>322</v>
      </c>
      <c r="C149" s="58" t="s">
        <v>1255</v>
      </c>
      <c r="D149" s="282" t="s">
        <v>500</v>
      </c>
      <c r="E149" s="282" t="s">
        <v>1013</v>
      </c>
      <c r="F149" s="59" t="s">
        <v>202</v>
      </c>
      <c r="G149" s="346" t="s">
        <v>203</v>
      </c>
      <c r="H149" s="346" t="s">
        <v>204</v>
      </c>
    </row>
    <row r="150" spans="1:8" ht="15" customHeight="1" x14ac:dyDescent="0.25">
      <c r="A150" s="35" t="s">
        <v>323</v>
      </c>
      <c r="B150" s="119" t="s">
        <v>405</v>
      </c>
      <c r="C150" s="27">
        <f>Planilha2!B133</f>
        <v>319</v>
      </c>
      <c r="D150" s="286">
        <f>FOB!G148</f>
        <v>7.8E-2</v>
      </c>
      <c r="E150" s="280">
        <f t="shared" si="9"/>
        <v>343.88200000000001</v>
      </c>
      <c r="F150" s="280">
        <v>545.49</v>
      </c>
      <c r="G150" s="347">
        <v>488.07000000000005</v>
      </c>
      <c r="H150" s="348">
        <f t="shared" si="10"/>
        <v>0.71</v>
      </c>
    </row>
    <row r="151" spans="1:8" ht="15" customHeight="1" x14ac:dyDescent="0.25">
      <c r="A151" s="35" t="s">
        <v>568</v>
      </c>
      <c r="B151" s="119" t="s">
        <v>567</v>
      </c>
      <c r="C151" s="27">
        <f>Planilha2!B134</f>
        <v>189</v>
      </c>
      <c r="D151" s="286">
        <f>FOB!G149</f>
        <v>7.8E-2</v>
      </c>
      <c r="E151" s="280">
        <f t="shared" si="9"/>
        <v>203.74199999999999</v>
      </c>
      <c r="F151" s="280">
        <v>592.70499999999993</v>
      </c>
      <c r="G151" s="347">
        <v>530.31499999999994</v>
      </c>
      <c r="H151" s="348">
        <f t="shared" si="10"/>
        <v>2.1360052910052905</v>
      </c>
    </row>
    <row r="152" spans="1:8" ht="15" customHeight="1" x14ac:dyDescent="0.25">
      <c r="A152" s="1" t="s">
        <v>12</v>
      </c>
      <c r="B152" s="13" t="s">
        <v>326</v>
      </c>
      <c r="C152" s="58" t="s">
        <v>1255</v>
      </c>
      <c r="D152" s="283" t="s">
        <v>500</v>
      </c>
      <c r="E152" s="282" t="s">
        <v>1013</v>
      </c>
      <c r="F152" s="59" t="s">
        <v>202</v>
      </c>
      <c r="G152" s="346" t="s">
        <v>203</v>
      </c>
      <c r="H152" s="346" t="s">
        <v>204</v>
      </c>
    </row>
    <row r="153" spans="1:8" ht="15" customHeight="1" x14ac:dyDescent="0.25">
      <c r="A153" s="35" t="s">
        <v>327</v>
      </c>
      <c r="B153" s="119" t="s">
        <v>406</v>
      </c>
      <c r="C153" s="27">
        <f>Planilha2!B136</f>
        <v>289</v>
      </c>
      <c r="D153" s="285">
        <f>FOB!G151</f>
        <v>7.8E-2</v>
      </c>
      <c r="E153" s="280">
        <f t="shared" ref="E153:E196" si="13">C153*D153+C153</f>
        <v>311.54200000000003</v>
      </c>
      <c r="F153" s="280">
        <v>494.19</v>
      </c>
      <c r="G153" s="347">
        <v>442.17</v>
      </c>
      <c r="H153" s="348">
        <f t="shared" ref="H153:H196" si="14">F153/C153-1</f>
        <v>0.71</v>
      </c>
    </row>
    <row r="154" spans="1:8" ht="15" customHeight="1" x14ac:dyDescent="0.25">
      <c r="A154" s="1" t="s">
        <v>12</v>
      </c>
      <c r="B154" s="13" t="s">
        <v>330</v>
      </c>
      <c r="C154" s="58" t="s">
        <v>1255</v>
      </c>
      <c r="D154" s="282" t="s">
        <v>500</v>
      </c>
      <c r="E154" s="282" t="s">
        <v>1013</v>
      </c>
      <c r="F154" s="59" t="s">
        <v>202</v>
      </c>
      <c r="G154" s="346" t="s">
        <v>203</v>
      </c>
      <c r="H154" s="346" t="s">
        <v>204</v>
      </c>
    </row>
    <row r="155" spans="1:8" ht="15" customHeight="1" x14ac:dyDescent="0.25">
      <c r="A155" s="35" t="s">
        <v>331</v>
      </c>
      <c r="B155" s="120" t="s">
        <v>407</v>
      </c>
      <c r="C155" s="27">
        <f>Planilha2!B138</f>
        <v>313</v>
      </c>
      <c r="D155" s="285">
        <f>FOB!G153</f>
        <v>7.8E-2</v>
      </c>
      <c r="E155" s="280">
        <f t="shared" si="13"/>
        <v>337.41399999999999</v>
      </c>
      <c r="F155" s="280">
        <v>535.2299999999999</v>
      </c>
      <c r="G155" s="347">
        <v>478.89</v>
      </c>
      <c r="H155" s="348">
        <f t="shared" si="14"/>
        <v>0.70999999999999974</v>
      </c>
    </row>
    <row r="156" spans="1:8" ht="15" customHeight="1" x14ac:dyDescent="0.25">
      <c r="A156" s="35" t="s">
        <v>334</v>
      </c>
      <c r="B156" s="120" t="s">
        <v>408</v>
      </c>
      <c r="C156" s="27">
        <f>Planilha2!B139</f>
        <v>429</v>
      </c>
      <c r="D156" s="285">
        <f>FOB!G154</f>
        <v>7.8E-2</v>
      </c>
      <c r="E156" s="280">
        <f t="shared" si="13"/>
        <v>462.46199999999999</v>
      </c>
      <c r="F156" s="280">
        <v>733.59</v>
      </c>
      <c r="G156" s="347">
        <v>656.37</v>
      </c>
      <c r="H156" s="348">
        <f t="shared" si="14"/>
        <v>0.71</v>
      </c>
    </row>
    <row r="157" spans="1:8" ht="15" customHeight="1" x14ac:dyDescent="0.25">
      <c r="A157" s="35" t="s">
        <v>337</v>
      </c>
      <c r="B157" s="120" t="s">
        <v>409</v>
      </c>
      <c r="C157" s="27">
        <f>Planilha2!B140</f>
        <v>329</v>
      </c>
      <c r="D157" s="285">
        <f>FOB!G155</f>
        <v>7.8E-2</v>
      </c>
      <c r="E157" s="280">
        <f t="shared" si="13"/>
        <v>354.66199999999998</v>
      </c>
      <c r="F157" s="280">
        <v>562.59</v>
      </c>
      <c r="G157" s="347">
        <v>503.37</v>
      </c>
      <c r="H157" s="348">
        <f t="shared" si="14"/>
        <v>0.71000000000000019</v>
      </c>
    </row>
    <row r="158" spans="1:8" ht="15" customHeight="1" x14ac:dyDescent="0.25">
      <c r="A158" s="1" t="s">
        <v>12</v>
      </c>
      <c r="B158" s="13" t="s">
        <v>340</v>
      </c>
      <c r="C158" s="58" t="s">
        <v>1255</v>
      </c>
      <c r="D158" s="282" t="s">
        <v>500</v>
      </c>
      <c r="E158" s="282" t="s">
        <v>1013</v>
      </c>
      <c r="F158" s="59" t="s">
        <v>202</v>
      </c>
      <c r="G158" s="346" t="s">
        <v>203</v>
      </c>
      <c r="H158" s="346" t="s">
        <v>204</v>
      </c>
    </row>
    <row r="159" spans="1:8" ht="15" customHeight="1" x14ac:dyDescent="0.25">
      <c r="A159" s="35" t="s">
        <v>341</v>
      </c>
      <c r="B159" s="120" t="s">
        <v>410</v>
      </c>
      <c r="C159" s="27">
        <f>Planilha2!B142</f>
        <v>313</v>
      </c>
      <c r="D159" s="285">
        <f>FOB!G157</f>
        <v>7.8E-2</v>
      </c>
      <c r="E159" s="280">
        <f t="shared" si="13"/>
        <v>337.41399999999999</v>
      </c>
      <c r="F159" s="280">
        <v>535.2299999999999</v>
      </c>
      <c r="G159" s="347">
        <v>478.89</v>
      </c>
      <c r="H159" s="348">
        <f t="shared" si="14"/>
        <v>0.70999999999999974</v>
      </c>
    </row>
    <row r="160" spans="1:8" ht="15" customHeight="1" x14ac:dyDescent="0.25">
      <c r="A160" s="35" t="s">
        <v>611</v>
      </c>
      <c r="B160" s="120" t="s">
        <v>612</v>
      </c>
      <c r="C160" s="27">
        <f>Planilha2!B143</f>
        <v>189</v>
      </c>
      <c r="D160" s="285">
        <f>FOB!G158</f>
        <v>7.8E-2</v>
      </c>
      <c r="E160" s="280">
        <f t="shared" si="13"/>
        <v>203.74199999999999</v>
      </c>
      <c r="F160" s="280">
        <v>545.20499999999993</v>
      </c>
      <c r="G160" s="347">
        <v>487.81499999999994</v>
      </c>
      <c r="H160" s="348">
        <f t="shared" si="14"/>
        <v>1.8846825396825393</v>
      </c>
    </row>
    <row r="161" spans="1:8" ht="15" customHeight="1" x14ac:dyDescent="0.25">
      <c r="A161" s="35" t="s">
        <v>344</v>
      </c>
      <c r="B161" s="120" t="s">
        <v>411</v>
      </c>
      <c r="C161" s="27">
        <f>Planilha2!B144</f>
        <v>429</v>
      </c>
      <c r="D161" s="285">
        <f>FOB!G159</f>
        <v>7.8E-2</v>
      </c>
      <c r="E161" s="280">
        <f t="shared" si="13"/>
        <v>462.46199999999999</v>
      </c>
      <c r="F161" s="280">
        <v>733.59</v>
      </c>
      <c r="G161" s="347">
        <v>656.37</v>
      </c>
      <c r="H161" s="348">
        <f t="shared" si="14"/>
        <v>0.71</v>
      </c>
    </row>
    <row r="162" spans="1:8" ht="15" customHeight="1" x14ac:dyDescent="0.25">
      <c r="A162" s="1" t="s">
        <v>12</v>
      </c>
      <c r="B162" s="13" t="s">
        <v>412</v>
      </c>
      <c r="C162" s="58" t="s">
        <v>1255</v>
      </c>
      <c r="D162" s="282" t="str">
        <f>FOB!G160</f>
        <v>IPI</v>
      </c>
      <c r="E162" s="282" t="s">
        <v>1013</v>
      </c>
      <c r="F162" s="59" t="s">
        <v>202</v>
      </c>
      <c r="G162" s="346" t="s">
        <v>203</v>
      </c>
      <c r="H162" s="346" t="s">
        <v>204</v>
      </c>
    </row>
    <row r="163" spans="1:8" ht="15" customHeight="1" x14ac:dyDescent="0.25">
      <c r="A163" s="35" t="s">
        <v>348</v>
      </c>
      <c r="B163" s="119" t="s">
        <v>454</v>
      </c>
      <c r="C163" s="27">
        <f>Planilha2!B146</f>
        <v>210.6</v>
      </c>
      <c r="D163" s="285">
        <f>FOB!G161</f>
        <v>7.8E-2</v>
      </c>
      <c r="E163" s="280">
        <f t="shared" si="13"/>
        <v>227.02679999999998</v>
      </c>
      <c r="F163" s="280">
        <v>400.14</v>
      </c>
      <c r="G163" s="347">
        <v>358.02</v>
      </c>
      <c r="H163" s="348">
        <f t="shared" si="14"/>
        <v>0.89999999999999991</v>
      </c>
    </row>
    <row r="164" spans="1:8" ht="15" customHeight="1" x14ac:dyDescent="0.25">
      <c r="A164" s="35" t="s">
        <v>351</v>
      </c>
      <c r="B164" s="119" t="s">
        <v>455</v>
      </c>
      <c r="C164" s="27">
        <f>Planilha2!B147</f>
        <v>224.1</v>
      </c>
      <c r="D164" s="285">
        <f>FOB!G162</f>
        <v>7.8E-2</v>
      </c>
      <c r="E164" s="280">
        <f t="shared" si="13"/>
        <v>241.57980000000001</v>
      </c>
      <c r="F164" s="280">
        <v>425.78999999999996</v>
      </c>
      <c r="G164" s="347">
        <v>380.96999999999997</v>
      </c>
      <c r="H164" s="348">
        <f t="shared" si="14"/>
        <v>0.89999999999999991</v>
      </c>
    </row>
    <row r="165" spans="1:8" ht="15" customHeight="1" x14ac:dyDescent="0.25">
      <c r="A165" s="35" t="s">
        <v>354</v>
      </c>
      <c r="B165" s="119" t="s">
        <v>456</v>
      </c>
      <c r="C165" s="27">
        <f>Planilha2!B148</f>
        <v>269</v>
      </c>
      <c r="D165" s="285">
        <f>FOB!G163</f>
        <v>7.8E-2</v>
      </c>
      <c r="E165" s="280">
        <f t="shared" si="13"/>
        <v>289.98199999999997</v>
      </c>
      <c r="F165" s="280">
        <v>459.98999999999995</v>
      </c>
      <c r="G165" s="347">
        <v>411.57</v>
      </c>
      <c r="H165" s="348">
        <f t="shared" si="14"/>
        <v>0.70999999999999974</v>
      </c>
    </row>
    <row r="166" spans="1:8" ht="15" customHeight="1" x14ac:dyDescent="0.25">
      <c r="A166" s="35" t="s">
        <v>357</v>
      </c>
      <c r="B166" s="119" t="s">
        <v>457</v>
      </c>
      <c r="C166" s="27">
        <f>Planilha2!B149</f>
        <v>299</v>
      </c>
      <c r="D166" s="285">
        <f>FOB!G164</f>
        <v>7.8E-2</v>
      </c>
      <c r="E166" s="280">
        <f t="shared" si="13"/>
        <v>322.322</v>
      </c>
      <c r="F166" s="280">
        <v>511.29</v>
      </c>
      <c r="G166" s="347">
        <v>457.47</v>
      </c>
      <c r="H166" s="348">
        <f t="shared" si="14"/>
        <v>0.71</v>
      </c>
    </row>
    <row r="167" spans="1:8" ht="15" customHeight="1" x14ac:dyDescent="0.25">
      <c r="A167" s="1" t="s">
        <v>12</v>
      </c>
      <c r="B167" s="13" t="s">
        <v>415</v>
      </c>
      <c r="C167" s="58" t="s">
        <v>1255</v>
      </c>
      <c r="D167" s="282" t="str">
        <f>FOB!G165</f>
        <v>IPI</v>
      </c>
      <c r="E167" s="282" t="s">
        <v>1013</v>
      </c>
      <c r="F167" s="59" t="s">
        <v>202</v>
      </c>
      <c r="G167" s="346" t="s">
        <v>203</v>
      </c>
      <c r="H167" s="346" t="s">
        <v>204</v>
      </c>
    </row>
    <row r="168" spans="1:8" ht="15" customHeight="1" x14ac:dyDescent="0.25">
      <c r="A168" s="35" t="s">
        <v>361</v>
      </c>
      <c r="B168" s="119" t="s">
        <v>458</v>
      </c>
      <c r="C168" s="27">
        <f>Planilha2!B151</f>
        <v>179.1</v>
      </c>
      <c r="D168" s="285">
        <f>FOB!G166</f>
        <v>7.8E-2</v>
      </c>
      <c r="E168" s="280">
        <f t="shared" si="13"/>
        <v>193.06979999999999</v>
      </c>
      <c r="F168" s="280">
        <v>340.28999999999996</v>
      </c>
      <c r="G168" s="347">
        <v>304.46999999999997</v>
      </c>
      <c r="H168" s="348">
        <f t="shared" si="14"/>
        <v>0.89999999999999991</v>
      </c>
    </row>
    <row r="169" spans="1:8" ht="15" customHeight="1" x14ac:dyDescent="0.25">
      <c r="A169" s="35" t="s">
        <v>364</v>
      </c>
      <c r="B169" s="119" t="s">
        <v>459</v>
      </c>
      <c r="C169" s="27">
        <f>Planilha2!B152</f>
        <v>197.1</v>
      </c>
      <c r="D169" s="285">
        <f>FOB!G167</f>
        <v>7.8E-2</v>
      </c>
      <c r="E169" s="280">
        <f t="shared" si="13"/>
        <v>212.47379999999998</v>
      </c>
      <c r="F169" s="280">
        <v>374.48999999999995</v>
      </c>
      <c r="G169" s="347">
        <v>335.07</v>
      </c>
      <c r="H169" s="348">
        <f t="shared" si="14"/>
        <v>0.89999999999999991</v>
      </c>
    </row>
    <row r="170" spans="1:8" ht="15" customHeight="1" x14ac:dyDescent="0.25">
      <c r="A170" s="35" t="s">
        <v>367</v>
      </c>
      <c r="B170" s="119" t="s">
        <v>460</v>
      </c>
      <c r="C170" s="27">
        <f>Planilha2!B153</f>
        <v>239</v>
      </c>
      <c r="D170" s="285">
        <f>FOB!G168</f>
        <v>7.8E-2</v>
      </c>
      <c r="E170" s="280">
        <f t="shared" si="13"/>
        <v>257.642</v>
      </c>
      <c r="F170" s="280">
        <v>408.69</v>
      </c>
      <c r="G170" s="347">
        <v>365.66999999999996</v>
      </c>
      <c r="H170" s="348">
        <f t="shared" si="14"/>
        <v>0.71</v>
      </c>
    </row>
    <row r="171" spans="1:8" ht="15" customHeight="1" x14ac:dyDescent="0.25">
      <c r="A171" s="35" t="s">
        <v>370</v>
      </c>
      <c r="B171" s="119" t="s">
        <v>461</v>
      </c>
      <c r="C171" s="27">
        <f>Planilha2!B154</f>
        <v>269</v>
      </c>
      <c r="D171" s="285">
        <f>FOB!G169</f>
        <v>7.8E-2</v>
      </c>
      <c r="E171" s="280">
        <f t="shared" si="13"/>
        <v>289.98199999999997</v>
      </c>
      <c r="F171" s="280">
        <v>459.98999999999995</v>
      </c>
      <c r="G171" s="347">
        <v>411.57</v>
      </c>
      <c r="H171" s="348">
        <f t="shared" si="14"/>
        <v>0.70999999999999974</v>
      </c>
    </row>
    <row r="172" spans="1:8" ht="15" customHeight="1" x14ac:dyDescent="0.25">
      <c r="A172" s="1" t="s">
        <v>12</v>
      </c>
      <c r="B172" s="13" t="s">
        <v>414</v>
      </c>
      <c r="C172" s="58" t="s">
        <v>1255</v>
      </c>
      <c r="D172" s="282" t="str">
        <f>FOB!G170</f>
        <v>IPI</v>
      </c>
      <c r="E172" s="282" t="s">
        <v>1013</v>
      </c>
      <c r="F172" s="59" t="s">
        <v>202</v>
      </c>
      <c r="G172" s="346" t="s">
        <v>203</v>
      </c>
      <c r="H172" s="346" t="s">
        <v>204</v>
      </c>
    </row>
    <row r="173" spans="1:8" ht="15" customHeight="1" x14ac:dyDescent="0.25">
      <c r="A173" s="35" t="s">
        <v>374</v>
      </c>
      <c r="B173" s="120" t="s">
        <v>462</v>
      </c>
      <c r="C173" s="27">
        <f>Planilha2!B156</f>
        <v>206.1</v>
      </c>
      <c r="D173" s="285">
        <f>FOB!G171</f>
        <v>7.8E-2</v>
      </c>
      <c r="E173" s="280">
        <f t="shared" si="13"/>
        <v>222.17579999999998</v>
      </c>
      <c r="F173" s="280">
        <v>391.59</v>
      </c>
      <c r="G173" s="347">
        <v>350.37</v>
      </c>
      <c r="H173" s="348">
        <f t="shared" si="14"/>
        <v>0.89999999999999991</v>
      </c>
    </row>
    <row r="174" spans="1:8" ht="15" customHeight="1" x14ac:dyDescent="0.25">
      <c r="A174" s="35" t="s">
        <v>377</v>
      </c>
      <c r="B174" s="120" t="s">
        <v>463</v>
      </c>
      <c r="C174" s="27">
        <f>Planilha2!B157</f>
        <v>215.1</v>
      </c>
      <c r="D174" s="285">
        <f>FOB!G172</f>
        <v>7.8E-2</v>
      </c>
      <c r="E174" s="280">
        <f t="shared" si="13"/>
        <v>231.87779999999998</v>
      </c>
      <c r="F174" s="280">
        <v>408.69</v>
      </c>
      <c r="G174" s="347">
        <v>365.66999999999996</v>
      </c>
      <c r="H174" s="348">
        <f t="shared" si="14"/>
        <v>0.90000000000000013</v>
      </c>
    </row>
    <row r="175" spans="1:8" ht="15" customHeight="1" x14ac:dyDescent="0.25">
      <c r="A175" s="35" t="s">
        <v>380</v>
      </c>
      <c r="B175" s="120" t="s">
        <v>464</v>
      </c>
      <c r="C175" s="27">
        <f>Planilha2!B158</f>
        <v>296.10000000000002</v>
      </c>
      <c r="D175" s="285">
        <f>FOB!G173</f>
        <v>7.8E-2</v>
      </c>
      <c r="E175" s="280">
        <f t="shared" si="13"/>
        <v>319.19580000000002</v>
      </c>
      <c r="F175" s="280">
        <v>562.59</v>
      </c>
      <c r="G175" s="347">
        <v>503.37</v>
      </c>
      <c r="H175" s="348">
        <f t="shared" si="14"/>
        <v>0.89999999999999991</v>
      </c>
    </row>
    <row r="176" spans="1:8" ht="15" customHeight="1" x14ac:dyDescent="0.25">
      <c r="A176" s="35" t="s">
        <v>383</v>
      </c>
      <c r="B176" s="120" t="s">
        <v>465</v>
      </c>
      <c r="C176" s="27">
        <f>Planilha2!B159</f>
        <v>310.5</v>
      </c>
      <c r="D176" s="285">
        <f>FOB!G174</f>
        <v>7.8E-2</v>
      </c>
      <c r="E176" s="280">
        <f t="shared" si="13"/>
        <v>334.71899999999999</v>
      </c>
      <c r="F176" s="280">
        <v>589.94999999999993</v>
      </c>
      <c r="G176" s="347">
        <v>527.85</v>
      </c>
      <c r="H176" s="348">
        <f t="shared" si="14"/>
        <v>0.89999999999999969</v>
      </c>
    </row>
    <row r="177" spans="1:8" ht="15" customHeight="1" x14ac:dyDescent="0.25">
      <c r="A177" s="35" t="s">
        <v>386</v>
      </c>
      <c r="B177" s="120" t="s">
        <v>466</v>
      </c>
      <c r="C177" s="27">
        <f>Planilha2!B160</f>
        <v>239</v>
      </c>
      <c r="D177" s="285">
        <f>FOB!G175</f>
        <v>7.8E-2</v>
      </c>
      <c r="E177" s="280">
        <f t="shared" si="13"/>
        <v>257.642</v>
      </c>
      <c r="F177" s="280">
        <v>408.69</v>
      </c>
      <c r="G177" s="347">
        <v>365.66999999999996</v>
      </c>
      <c r="H177" s="348">
        <f t="shared" si="14"/>
        <v>0.71</v>
      </c>
    </row>
    <row r="178" spans="1:8" ht="15" customHeight="1" x14ac:dyDescent="0.25">
      <c r="A178" s="1" t="s">
        <v>12</v>
      </c>
      <c r="B178" s="13" t="s">
        <v>413</v>
      </c>
      <c r="C178" s="58" t="s">
        <v>1255</v>
      </c>
      <c r="D178" s="282" t="str">
        <f>FOB!G176</f>
        <v>IPI</v>
      </c>
      <c r="E178" s="282" t="s">
        <v>1013</v>
      </c>
      <c r="F178" s="59" t="s">
        <v>202</v>
      </c>
      <c r="G178" s="346" t="s">
        <v>203</v>
      </c>
      <c r="H178" s="346" t="s">
        <v>204</v>
      </c>
    </row>
    <row r="179" spans="1:8" ht="15" customHeight="1" x14ac:dyDescent="0.25">
      <c r="A179" s="35" t="s">
        <v>390</v>
      </c>
      <c r="B179" s="120" t="s">
        <v>467</v>
      </c>
      <c r="C179" s="27">
        <f>Planilha2!B162</f>
        <v>206.1</v>
      </c>
      <c r="D179" s="285">
        <f>FOB!G177</f>
        <v>7.8E-2</v>
      </c>
      <c r="E179" s="280">
        <f t="shared" si="13"/>
        <v>222.17579999999998</v>
      </c>
      <c r="F179" s="280">
        <v>391.59</v>
      </c>
      <c r="G179" s="347">
        <v>350.37</v>
      </c>
      <c r="H179" s="348">
        <f t="shared" si="14"/>
        <v>0.89999999999999991</v>
      </c>
    </row>
    <row r="180" spans="1:8" ht="15" customHeight="1" x14ac:dyDescent="0.25">
      <c r="A180" s="35" t="s">
        <v>393</v>
      </c>
      <c r="B180" s="120" t="s">
        <v>468</v>
      </c>
      <c r="C180" s="27">
        <f>Planilha2!B163</f>
        <v>215.1</v>
      </c>
      <c r="D180" s="285">
        <f>FOB!G178</f>
        <v>7.8E-2</v>
      </c>
      <c r="E180" s="280">
        <f t="shared" si="13"/>
        <v>231.87779999999998</v>
      </c>
      <c r="F180" s="280">
        <v>408.69</v>
      </c>
      <c r="G180" s="347">
        <v>365.66999999999996</v>
      </c>
      <c r="H180" s="348">
        <f t="shared" si="14"/>
        <v>0.90000000000000013</v>
      </c>
    </row>
    <row r="181" spans="1:8" ht="15" customHeight="1" x14ac:dyDescent="0.25">
      <c r="A181" s="35" t="s">
        <v>396</v>
      </c>
      <c r="B181" s="120" t="s">
        <v>469</v>
      </c>
      <c r="C181" s="27">
        <f>Planilha2!B164</f>
        <v>296.10000000000002</v>
      </c>
      <c r="D181" s="285">
        <f>FOB!G179</f>
        <v>7.8E-2</v>
      </c>
      <c r="E181" s="280">
        <f t="shared" si="13"/>
        <v>319.19580000000002</v>
      </c>
      <c r="F181" s="280">
        <v>562.59</v>
      </c>
      <c r="G181" s="347">
        <v>503.37</v>
      </c>
      <c r="H181" s="348">
        <f t="shared" si="14"/>
        <v>0.89999999999999991</v>
      </c>
    </row>
    <row r="182" spans="1:8" ht="15" customHeight="1" x14ac:dyDescent="0.25">
      <c r="A182" s="35" t="s">
        <v>399</v>
      </c>
      <c r="B182" s="120" t="s">
        <v>470</v>
      </c>
      <c r="C182" s="27">
        <f>Planilha2!B165</f>
        <v>310.5</v>
      </c>
      <c r="D182" s="285">
        <f>FOB!G180</f>
        <v>7.8E-2</v>
      </c>
      <c r="E182" s="280">
        <f t="shared" si="13"/>
        <v>334.71899999999999</v>
      </c>
      <c r="F182" s="280">
        <v>589.94999999999993</v>
      </c>
      <c r="G182" s="347">
        <v>527.85</v>
      </c>
      <c r="H182" s="348">
        <f t="shared" si="14"/>
        <v>0.89999999999999969</v>
      </c>
    </row>
    <row r="183" spans="1:8" ht="15" customHeight="1" x14ac:dyDescent="0.25">
      <c r="A183" s="35"/>
      <c r="B183" s="269" t="s">
        <v>535</v>
      </c>
      <c r="C183" s="58" t="s">
        <v>1255</v>
      </c>
      <c r="D183" s="282" t="str">
        <f>FOB!G181</f>
        <v>IPI</v>
      </c>
      <c r="E183" s="282" t="s">
        <v>1013</v>
      </c>
      <c r="F183" s="59" t="s">
        <v>202</v>
      </c>
      <c r="G183" s="386" t="s">
        <v>203</v>
      </c>
      <c r="H183" s="346" t="s">
        <v>204</v>
      </c>
    </row>
    <row r="184" spans="1:8" ht="15" customHeight="1" x14ac:dyDescent="0.25">
      <c r="A184" s="335" t="s">
        <v>536</v>
      </c>
      <c r="B184" s="121" t="s">
        <v>537</v>
      </c>
      <c r="C184" s="27">
        <f>Planilha2!B167</f>
        <v>189</v>
      </c>
      <c r="D184" s="285">
        <f>FOB!G182</f>
        <v>7.8E-2</v>
      </c>
      <c r="E184" s="280">
        <f t="shared" si="13"/>
        <v>203.74199999999999</v>
      </c>
      <c r="F184" s="280">
        <v>524.30499999999995</v>
      </c>
      <c r="G184" s="347">
        <v>469.11499999999995</v>
      </c>
      <c r="H184" s="348">
        <f t="shared" si="14"/>
        <v>1.774100529100529</v>
      </c>
    </row>
    <row r="185" spans="1:8" ht="15" customHeight="1" x14ac:dyDescent="0.25">
      <c r="A185" s="335" t="s">
        <v>538</v>
      </c>
      <c r="B185" s="121" t="s">
        <v>539</v>
      </c>
      <c r="C185" s="27">
        <f>Planilha2!B168</f>
        <v>189</v>
      </c>
      <c r="D185" s="285">
        <f>FOB!G183</f>
        <v>7.8E-2</v>
      </c>
      <c r="E185" s="280">
        <f t="shared" si="13"/>
        <v>203.74199999999999</v>
      </c>
      <c r="F185" s="280">
        <v>533.80499999999995</v>
      </c>
      <c r="G185" s="347">
        <v>477.61499999999995</v>
      </c>
      <c r="H185" s="348">
        <f t="shared" si="14"/>
        <v>1.8243650793650792</v>
      </c>
    </row>
    <row r="186" spans="1:8" ht="15" customHeight="1" x14ac:dyDescent="0.25">
      <c r="A186" s="1" t="s">
        <v>12</v>
      </c>
      <c r="B186" s="13" t="s">
        <v>154</v>
      </c>
      <c r="C186" s="58" t="s">
        <v>1255</v>
      </c>
      <c r="D186" s="282" t="str">
        <f>FOB!G184</f>
        <v>IPI</v>
      </c>
      <c r="E186" s="282" t="s">
        <v>1013</v>
      </c>
      <c r="F186" s="59" t="s">
        <v>202</v>
      </c>
      <c r="G186" s="346" t="s">
        <v>203</v>
      </c>
      <c r="H186" s="346" t="s">
        <v>204</v>
      </c>
    </row>
    <row r="187" spans="1:8" ht="15" customHeight="1" x14ac:dyDescent="0.25">
      <c r="A187" s="336" t="s">
        <v>155</v>
      </c>
      <c r="B187" s="122" t="s">
        <v>197</v>
      </c>
      <c r="C187" s="27">
        <f>Planilha2!B170</f>
        <v>49.34</v>
      </c>
      <c r="D187" s="285">
        <f>FOB!G185</f>
        <v>6.5000000000000002E-2</v>
      </c>
      <c r="E187" s="280">
        <f t="shared" si="13"/>
        <v>52.5471</v>
      </c>
      <c r="F187" s="280">
        <v>85.405000000000001</v>
      </c>
      <c r="G187" s="347">
        <v>76.415000000000006</v>
      </c>
      <c r="H187" s="348">
        <f t="shared" si="14"/>
        <v>0.73094852047020664</v>
      </c>
    </row>
    <row r="188" spans="1:8" ht="15" customHeight="1" x14ac:dyDescent="0.25">
      <c r="A188" s="56" t="s">
        <v>12</v>
      </c>
      <c r="B188" s="57" t="s">
        <v>156</v>
      </c>
      <c r="C188" s="58" t="s">
        <v>1255</v>
      </c>
      <c r="D188" s="282" t="str">
        <f>FOB!G186</f>
        <v>IPI</v>
      </c>
      <c r="E188" s="282" t="s">
        <v>1013</v>
      </c>
      <c r="F188" s="59" t="s">
        <v>202</v>
      </c>
      <c r="G188" s="346" t="s">
        <v>203</v>
      </c>
      <c r="H188" s="346" t="s">
        <v>204</v>
      </c>
    </row>
    <row r="189" spans="1:8" ht="15" customHeight="1" x14ac:dyDescent="0.25">
      <c r="A189" s="67" t="s">
        <v>157</v>
      </c>
      <c r="B189" s="116" t="s">
        <v>159</v>
      </c>
      <c r="C189" s="27">
        <f>Planilha2!B174</f>
        <v>17.899999999999999</v>
      </c>
      <c r="D189" s="285">
        <f>FOB!G187</f>
        <v>0</v>
      </c>
      <c r="E189" s="280">
        <f t="shared" si="13"/>
        <v>17.899999999999999</v>
      </c>
      <c r="F189" s="280">
        <v>45.504999999999995</v>
      </c>
      <c r="G189" s="347">
        <v>40.714999999999996</v>
      </c>
      <c r="H189" s="348">
        <f t="shared" si="14"/>
        <v>1.5421787709497208</v>
      </c>
    </row>
    <row r="190" spans="1:8" ht="15" customHeight="1" x14ac:dyDescent="0.25">
      <c r="A190" s="67" t="s">
        <v>160</v>
      </c>
      <c r="B190" s="116" t="s">
        <v>162</v>
      </c>
      <c r="C190" s="27">
        <f>Planilha2!B175</f>
        <v>17.899999999999999</v>
      </c>
      <c r="D190" s="285">
        <f>FOB!G188</f>
        <v>0</v>
      </c>
      <c r="E190" s="280">
        <f t="shared" si="13"/>
        <v>17.899999999999999</v>
      </c>
      <c r="F190" s="280">
        <v>45.504999999999995</v>
      </c>
      <c r="G190" s="347">
        <v>40.714999999999996</v>
      </c>
      <c r="H190" s="348">
        <f t="shared" si="14"/>
        <v>1.5421787709497208</v>
      </c>
    </row>
    <row r="191" spans="1:8" ht="15" customHeight="1" x14ac:dyDescent="0.25">
      <c r="A191" s="67" t="s">
        <v>163</v>
      </c>
      <c r="B191" s="116" t="s">
        <v>165</v>
      </c>
      <c r="C191" s="27">
        <f>Planilha2!B174</f>
        <v>17.899999999999999</v>
      </c>
      <c r="D191" s="285">
        <f>FOB!G189</f>
        <v>0</v>
      </c>
      <c r="E191" s="280">
        <f t="shared" si="13"/>
        <v>17.899999999999999</v>
      </c>
      <c r="F191" s="280">
        <v>45.504999999999995</v>
      </c>
      <c r="G191" s="347">
        <v>40.714999999999996</v>
      </c>
      <c r="H191" s="348">
        <f t="shared" si="14"/>
        <v>1.5421787709497208</v>
      </c>
    </row>
    <row r="192" spans="1:8" ht="15" customHeight="1" x14ac:dyDescent="0.25">
      <c r="A192" s="67" t="s">
        <v>166</v>
      </c>
      <c r="B192" s="116" t="s">
        <v>168</v>
      </c>
      <c r="C192" s="27">
        <f>Planilha2!B175</f>
        <v>17.899999999999999</v>
      </c>
      <c r="D192" s="285">
        <f>FOB!G190</f>
        <v>0</v>
      </c>
      <c r="E192" s="280">
        <f t="shared" si="13"/>
        <v>17.899999999999999</v>
      </c>
      <c r="F192" s="280">
        <v>47.404999999999994</v>
      </c>
      <c r="G192" s="347">
        <v>42.414999999999999</v>
      </c>
      <c r="H192" s="348">
        <f t="shared" si="14"/>
        <v>1.6483240223463684</v>
      </c>
    </row>
    <row r="193" spans="1:8" ht="15" customHeight="1" x14ac:dyDescent="0.25">
      <c r="A193" s="67" t="s">
        <v>169</v>
      </c>
      <c r="B193" s="116" t="s">
        <v>171</v>
      </c>
      <c r="C193" s="27">
        <f>Planilha2!B176</f>
        <v>17.899999999999999</v>
      </c>
      <c r="D193" s="285">
        <f>FOB!G191</f>
        <v>0</v>
      </c>
      <c r="E193" s="280">
        <f t="shared" si="13"/>
        <v>17.899999999999999</v>
      </c>
      <c r="F193" s="280">
        <v>47.404999999999994</v>
      </c>
      <c r="G193" s="347">
        <v>42.414999999999999</v>
      </c>
      <c r="H193" s="348">
        <f t="shared" si="14"/>
        <v>1.6483240223463684</v>
      </c>
    </row>
    <row r="194" spans="1:8" ht="15" customHeight="1" x14ac:dyDescent="0.25">
      <c r="A194" s="67" t="s">
        <v>172</v>
      </c>
      <c r="B194" s="116" t="s">
        <v>174</v>
      </c>
      <c r="C194" s="27">
        <f>Planilha2!B177</f>
        <v>18.899999999999999</v>
      </c>
      <c r="D194" s="285">
        <f>FOB!G192</f>
        <v>0</v>
      </c>
      <c r="E194" s="280">
        <f t="shared" si="13"/>
        <v>18.899999999999999</v>
      </c>
      <c r="F194" s="280">
        <v>47.404999999999994</v>
      </c>
      <c r="G194" s="347">
        <v>42.414999999999999</v>
      </c>
      <c r="H194" s="348">
        <f t="shared" si="14"/>
        <v>1.5082010582010579</v>
      </c>
    </row>
    <row r="195" spans="1:8" ht="16.899999999999999" customHeight="1" x14ac:dyDescent="0.25">
      <c r="A195" s="56" t="s">
        <v>12</v>
      </c>
      <c r="B195" s="57" t="s">
        <v>1006</v>
      </c>
      <c r="C195" s="58" t="s">
        <v>1255</v>
      </c>
      <c r="D195" s="282" t="s">
        <v>500</v>
      </c>
      <c r="E195" s="282" t="s">
        <v>1013</v>
      </c>
      <c r="F195" s="59" t="s">
        <v>202</v>
      </c>
      <c r="G195" s="346" t="s">
        <v>203</v>
      </c>
      <c r="H195" s="346" t="s">
        <v>204</v>
      </c>
    </row>
    <row r="196" spans="1:8" x14ac:dyDescent="0.25">
      <c r="A196" s="62" t="s">
        <v>1007</v>
      </c>
      <c r="B196" s="273" t="s">
        <v>1009</v>
      </c>
      <c r="C196" s="27">
        <f>Planilha2!B181</f>
        <v>129</v>
      </c>
      <c r="D196" s="285">
        <v>0</v>
      </c>
      <c r="E196" s="280">
        <f t="shared" si="13"/>
        <v>129</v>
      </c>
      <c r="F196" s="280">
        <v>236.54999999999998</v>
      </c>
      <c r="G196" s="347">
        <v>211.65</v>
      </c>
      <c r="H196" s="348">
        <f t="shared" si="14"/>
        <v>0.83372093023255811</v>
      </c>
    </row>
    <row r="198" spans="1:8" ht="15.75" customHeight="1" thickBot="1" x14ac:dyDescent="0.3">
      <c r="B198" s="115"/>
    </row>
    <row r="199" spans="1:8" ht="15.75" thickBot="1" x14ac:dyDescent="0.3">
      <c r="A199" s="70" t="s">
        <v>281</v>
      </c>
      <c r="B199" s="427"/>
      <c r="C199" s="31" t="s">
        <v>321</v>
      </c>
      <c r="D199" s="276"/>
      <c r="E199" s="276"/>
      <c r="F199" s="15">
        <v>4</v>
      </c>
    </row>
    <row r="200" spans="1:8" ht="15.75" thickBot="1" x14ac:dyDescent="0.3">
      <c r="A200" s="426" t="s">
        <v>182</v>
      </c>
      <c r="B200" s="427"/>
      <c r="C200" s="31" t="s">
        <v>278</v>
      </c>
      <c r="D200" s="276"/>
      <c r="E200" s="276"/>
      <c r="F200" s="15">
        <v>4</v>
      </c>
    </row>
    <row r="201" spans="1:8" ht="15.75" thickBot="1" x14ac:dyDescent="0.3">
      <c r="A201" s="426"/>
      <c r="B201" s="427"/>
      <c r="C201" s="31" t="s">
        <v>1014</v>
      </c>
      <c r="D201" s="276"/>
      <c r="E201" s="276"/>
      <c r="F201" s="15">
        <v>4</v>
      </c>
    </row>
    <row r="202" spans="1:8" ht="15.75" thickBot="1" x14ac:dyDescent="0.3">
      <c r="A202" s="426"/>
      <c r="B202" s="427"/>
      <c r="C202" s="32" t="s">
        <v>183</v>
      </c>
      <c r="D202" s="276"/>
      <c r="E202" s="276"/>
      <c r="F202" s="15">
        <v>6</v>
      </c>
    </row>
    <row r="203" spans="1:8" ht="24.75" thickBot="1" x14ac:dyDescent="0.3">
      <c r="A203" s="426"/>
      <c r="B203" s="427"/>
      <c r="C203" s="32" t="s">
        <v>184</v>
      </c>
      <c r="D203" s="276"/>
      <c r="E203" s="276"/>
      <c r="F203" s="15">
        <v>2</v>
      </c>
    </row>
    <row r="204" spans="1:8" ht="24.75" thickBot="1" x14ac:dyDescent="0.3">
      <c r="A204" s="426"/>
      <c r="B204" s="427"/>
      <c r="C204" s="32" t="s">
        <v>185</v>
      </c>
      <c r="D204" s="276"/>
      <c r="E204" s="276"/>
      <c r="F204" s="15">
        <v>12</v>
      </c>
    </row>
    <row r="205" spans="1:8" ht="15.75" thickBot="1" x14ac:dyDescent="0.3">
      <c r="A205" s="426"/>
      <c r="B205" s="427"/>
      <c r="C205" s="32" t="s">
        <v>186</v>
      </c>
      <c r="D205" s="276"/>
      <c r="E205" s="276"/>
      <c r="F205" s="15">
        <v>6</v>
      </c>
    </row>
    <row r="206" spans="1:8" ht="15.75" thickBot="1" x14ac:dyDescent="0.3">
      <c r="A206" s="426"/>
      <c r="B206" s="427"/>
      <c r="C206" s="32" t="s">
        <v>187</v>
      </c>
      <c r="D206" s="276"/>
      <c r="E206" s="276"/>
      <c r="F206" s="15">
        <v>24</v>
      </c>
    </row>
    <row r="207" spans="1:8" ht="15.75" thickBot="1" x14ac:dyDescent="0.3">
      <c r="A207" s="426"/>
      <c r="B207" s="427"/>
      <c r="C207" s="32" t="s">
        <v>279</v>
      </c>
      <c r="D207" s="276"/>
      <c r="E207" s="276"/>
      <c r="F207" s="15">
        <v>6</v>
      </c>
    </row>
    <row r="208" spans="1:8" ht="15.75" thickBot="1" x14ac:dyDescent="0.3">
      <c r="A208" s="71"/>
      <c r="B208" s="427"/>
      <c r="C208" s="32" t="s">
        <v>188</v>
      </c>
      <c r="D208" s="276"/>
      <c r="E208" s="276"/>
      <c r="F208" s="15">
        <v>6</v>
      </c>
    </row>
    <row r="209" spans="1:6" ht="15.75" thickBot="1" x14ac:dyDescent="0.3">
      <c r="A209" s="114"/>
      <c r="B209" s="428"/>
      <c r="C209" s="36" t="s">
        <v>188</v>
      </c>
      <c r="D209" s="276"/>
      <c r="E209" s="276"/>
      <c r="F209" s="15">
        <v>6</v>
      </c>
    </row>
  </sheetData>
  <autoFilter ref="A19:H196" xr:uid="{00000000-0001-0000-0200-000000000000}"/>
  <mergeCells count="2">
    <mergeCell ref="A200:A207"/>
    <mergeCell ref="B199:B209"/>
  </mergeCells>
  <phoneticPr fontId="34" type="noConversion"/>
  <pageMargins left="0" right="0" top="0" bottom="0" header="0" footer="0"/>
  <pageSetup paperSize="9" scale="6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5828-464B-48CA-8323-1A477699D47F}">
  <sheetPr codeName="Planilha4">
    <pageSetUpPr fitToPage="1"/>
  </sheetPr>
  <dimension ref="A1:K60"/>
  <sheetViews>
    <sheetView topLeftCell="A4" workbookViewId="0">
      <selection activeCell="B27" sqref="B27"/>
    </sheetView>
  </sheetViews>
  <sheetFormatPr defaultRowHeight="15" x14ac:dyDescent="0.25"/>
  <cols>
    <col min="1" max="1" width="17.7109375" bestFit="1" customWidth="1"/>
    <col min="2" max="2" width="69.28515625" bestFit="1" customWidth="1"/>
    <col min="3" max="3" width="13.140625" hidden="1" customWidth="1"/>
    <col min="4" max="4" width="14.28515625" style="14" hidden="1" customWidth="1"/>
    <col min="5" max="5" width="16.28515625" hidden="1" customWidth="1"/>
    <col min="6" max="6" width="11.5703125" hidden="1" customWidth="1"/>
    <col min="7" max="7" width="17.28515625" customWidth="1"/>
    <col min="8" max="8" width="21.5703125" hidden="1" customWidth="1"/>
    <col min="9" max="9" width="11.5703125" bestFit="1" customWidth="1"/>
    <col min="10" max="11" width="18.7109375" customWidth="1"/>
  </cols>
  <sheetData>
    <row r="1" spans="1:11" x14ac:dyDescent="0.25">
      <c r="A1" s="87" t="s">
        <v>864</v>
      </c>
      <c r="B1" s="87" t="s">
        <v>863</v>
      </c>
      <c r="C1" s="87" t="s">
        <v>866</v>
      </c>
      <c r="D1" s="90" t="s">
        <v>867</v>
      </c>
      <c r="E1" s="87" t="s">
        <v>862</v>
      </c>
      <c r="F1" s="87" t="s">
        <v>857</v>
      </c>
      <c r="G1" s="88" t="s">
        <v>854</v>
      </c>
      <c r="H1" s="88" t="s">
        <v>865</v>
      </c>
      <c r="I1" s="88" t="s">
        <v>855</v>
      </c>
      <c r="J1" s="88" t="s">
        <v>857</v>
      </c>
      <c r="K1" s="88" t="s">
        <v>856</v>
      </c>
    </row>
    <row r="2" spans="1:11" x14ac:dyDescent="0.25">
      <c r="A2" s="89" t="s">
        <v>418</v>
      </c>
      <c r="B2" s="90" t="s">
        <v>629</v>
      </c>
      <c r="C2" s="91">
        <v>159.9</v>
      </c>
      <c r="D2" s="96"/>
      <c r="E2" s="92">
        <v>0.05</v>
      </c>
      <c r="F2" s="92">
        <v>3.5000000000000003E-2</v>
      </c>
      <c r="G2" s="91">
        <f>C2</f>
        <v>159.9</v>
      </c>
      <c r="H2" s="91">
        <f t="shared" ref="H2:H33" si="0">C2*E2</f>
        <v>7.995000000000001</v>
      </c>
      <c r="I2" s="91">
        <f>C2-H2</f>
        <v>151.905</v>
      </c>
      <c r="J2" s="91">
        <f>C2+C2*F2</f>
        <v>165.4965</v>
      </c>
      <c r="K2" s="91">
        <f>C2-H2</f>
        <v>151.905</v>
      </c>
    </row>
    <row r="3" spans="1:11" x14ac:dyDescent="0.25">
      <c r="A3" s="89" t="s">
        <v>434</v>
      </c>
      <c r="B3" s="90" t="s">
        <v>638</v>
      </c>
      <c r="C3" s="91">
        <v>157.93084999999999</v>
      </c>
      <c r="D3" s="96"/>
      <c r="E3" s="92">
        <v>0.05</v>
      </c>
      <c r="F3" s="92">
        <v>3.5000000000000003E-2</v>
      </c>
      <c r="G3" s="91">
        <f t="shared" ref="G3:G60" si="1">C3</f>
        <v>157.93084999999999</v>
      </c>
      <c r="H3" s="91">
        <f t="shared" si="0"/>
        <v>7.8965424999999998</v>
      </c>
      <c r="I3" s="91">
        <f t="shared" ref="I3:I60" si="2">C3-H3</f>
        <v>150.03430749999998</v>
      </c>
      <c r="J3" s="91">
        <f t="shared" ref="J3:J60" si="3">C3+C3*F3</f>
        <v>163.45842974999999</v>
      </c>
      <c r="K3" s="91">
        <f t="shared" ref="K3:K60" si="4">C3-H3</f>
        <v>150.03430749999998</v>
      </c>
    </row>
    <row r="4" spans="1:11" x14ac:dyDescent="0.25">
      <c r="A4" s="89" t="s">
        <v>291</v>
      </c>
      <c r="B4" s="90" t="s">
        <v>639</v>
      </c>
      <c r="C4" s="91">
        <v>162.30939999999998</v>
      </c>
      <c r="D4" s="96"/>
      <c r="E4" s="92">
        <v>0.05</v>
      </c>
      <c r="F4" s="92">
        <v>3.5000000000000003E-2</v>
      </c>
      <c r="G4" s="91">
        <f t="shared" si="1"/>
        <v>162.30939999999998</v>
      </c>
      <c r="H4" s="91">
        <f t="shared" si="0"/>
        <v>8.1154700000000002</v>
      </c>
      <c r="I4" s="91">
        <f t="shared" si="2"/>
        <v>154.19392999999999</v>
      </c>
      <c r="J4" s="91">
        <f t="shared" si="3"/>
        <v>167.99022899999997</v>
      </c>
      <c r="K4" s="91">
        <f t="shared" si="4"/>
        <v>154.19392999999999</v>
      </c>
    </row>
    <row r="5" spans="1:11" x14ac:dyDescent="0.25">
      <c r="A5" s="89" t="s">
        <v>290</v>
      </c>
      <c r="B5" s="90" t="s">
        <v>640</v>
      </c>
      <c r="C5" s="91">
        <v>157.93084999999999</v>
      </c>
      <c r="D5" s="96"/>
      <c r="E5" s="92">
        <v>0.05</v>
      </c>
      <c r="F5" s="92">
        <v>3.5000000000000003E-2</v>
      </c>
      <c r="G5" s="91">
        <f t="shared" si="1"/>
        <v>157.93084999999999</v>
      </c>
      <c r="H5" s="91">
        <f t="shared" si="0"/>
        <v>7.8965424999999998</v>
      </c>
      <c r="I5" s="91">
        <f t="shared" si="2"/>
        <v>150.03430749999998</v>
      </c>
      <c r="J5" s="91">
        <f t="shared" si="3"/>
        <v>163.45842974999999</v>
      </c>
      <c r="K5" s="91">
        <f t="shared" si="4"/>
        <v>150.03430749999998</v>
      </c>
    </row>
    <row r="6" spans="1:11" x14ac:dyDescent="0.25">
      <c r="A6" s="89" t="s">
        <v>433</v>
      </c>
      <c r="B6" s="90" t="s">
        <v>641</v>
      </c>
      <c r="C6" s="91">
        <v>156.46785</v>
      </c>
      <c r="D6" s="96"/>
      <c r="E6" s="92">
        <v>0.05</v>
      </c>
      <c r="F6" s="92">
        <v>3.5000000000000003E-2</v>
      </c>
      <c r="G6" s="91">
        <f t="shared" si="1"/>
        <v>156.46785</v>
      </c>
      <c r="H6" s="91">
        <f t="shared" si="0"/>
        <v>7.8233925000000006</v>
      </c>
      <c r="I6" s="91">
        <f t="shared" si="2"/>
        <v>148.64445749999999</v>
      </c>
      <c r="J6" s="91">
        <f t="shared" si="3"/>
        <v>161.94422474999999</v>
      </c>
      <c r="K6" s="91">
        <f t="shared" si="4"/>
        <v>148.64445749999999</v>
      </c>
    </row>
    <row r="7" spans="1:11" x14ac:dyDescent="0.25">
      <c r="A7" s="89" t="s">
        <v>289</v>
      </c>
      <c r="B7" s="90" t="s">
        <v>642</v>
      </c>
      <c r="C7" s="91">
        <v>157.93084999999999</v>
      </c>
      <c r="D7" s="96"/>
      <c r="E7" s="92">
        <v>0.05</v>
      </c>
      <c r="F7" s="92">
        <v>3.5000000000000003E-2</v>
      </c>
      <c r="G7" s="91">
        <f t="shared" si="1"/>
        <v>157.93084999999999</v>
      </c>
      <c r="H7" s="91">
        <f t="shared" si="0"/>
        <v>7.8965424999999998</v>
      </c>
      <c r="I7" s="91">
        <f t="shared" si="2"/>
        <v>150.03430749999998</v>
      </c>
      <c r="J7" s="91">
        <f t="shared" si="3"/>
        <v>163.45842974999999</v>
      </c>
      <c r="K7" s="91">
        <f t="shared" si="4"/>
        <v>150.03430749999998</v>
      </c>
    </row>
    <row r="8" spans="1:11" x14ac:dyDescent="0.25">
      <c r="A8" s="89" t="s">
        <v>425</v>
      </c>
      <c r="B8" s="90" t="s">
        <v>643</v>
      </c>
      <c r="C8" s="91">
        <v>160.84640000000002</v>
      </c>
      <c r="D8" s="96"/>
      <c r="E8" s="92">
        <v>0.05</v>
      </c>
      <c r="F8" s="92">
        <v>3.5000000000000003E-2</v>
      </c>
      <c r="G8" s="91">
        <f t="shared" si="1"/>
        <v>160.84640000000002</v>
      </c>
      <c r="H8" s="91">
        <f t="shared" si="0"/>
        <v>8.0423200000000019</v>
      </c>
      <c r="I8" s="91">
        <f t="shared" si="2"/>
        <v>152.80408000000003</v>
      </c>
      <c r="J8" s="91">
        <f t="shared" si="3"/>
        <v>166.47602400000002</v>
      </c>
      <c r="K8" s="91">
        <f t="shared" si="4"/>
        <v>152.80408000000003</v>
      </c>
    </row>
    <row r="9" spans="1:11" x14ac:dyDescent="0.25">
      <c r="A9" s="89" t="s">
        <v>294</v>
      </c>
      <c r="B9" s="90" t="s">
        <v>644</v>
      </c>
      <c r="C9" s="91">
        <v>177.86945</v>
      </c>
      <c r="D9" s="96"/>
      <c r="E9" s="92">
        <v>0.05</v>
      </c>
      <c r="F9" s="92">
        <v>3.5000000000000003E-2</v>
      </c>
      <c r="G9" s="91">
        <f t="shared" si="1"/>
        <v>177.86945</v>
      </c>
      <c r="H9" s="91">
        <f t="shared" si="0"/>
        <v>8.8934724999999997</v>
      </c>
      <c r="I9" s="91">
        <f t="shared" si="2"/>
        <v>168.9759775</v>
      </c>
      <c r="J9" s="91">
        <f t="shared" si="3"/>
        <v>184.09488075000002</v>
      </c>
      <c r="K9" s="91">
        <f t="shared" si="4"/>
        <v>168.9759775</v>
      </c>
    </row>
    <row r="10" spans="1:11" x14ac:dyDescent="0.25">
      <c r="A10" s="89" t="s">
        <v>435</v>
      </c>
      <c r="B10" s="90" t="s">
        <v>645</v>
      </c>
      <c r="C10" s="91">
        <v>201.28790000000004</v>
      </c>
      <c r="D10" s="96"/>
      <c r="E10" s="92">
        <v>0.05</v>
      </c>
      <c r="F10" s="92">
        <v>3.5000000000000003E-2</v>
      </c>
      <c r="G10" s="91">
        <f t="shared" si="1"/>
        <v>201.28790000000004</v>
      </c>
      <c r="H10" s="91">
        <f t="shared" si="0"/>
        <v>10.064395000000003</v>
      </c>
      <c r="I10" s="91">
        <f t="shared" si="2"/>
        <v>191.22350500000005</v>
      </c>
      <c r="J10" s="91">
        <f t="shared" si="3"/>
        <v>208.33297650000003</v>
      </c>
      <c r="K10" s="91">
        <f t="shared" si="4"/>
        <v>191.22350500000005</v>
      </c>
    </row>
    <row r="11" spans="1:11" x14ac:dyDescent="0.25">
      <c r="A11" s="89" t="s">
        <v>293</v>
      </c>
      <c r="B11" s="90" t="s">
        <v>646</v>
      </c>
      <c r="C11" s="91">
        <v>231.154</v>
      </c>
      <c r="D11" s="96"/>
      <c r="E11" s="92">
        <v>0.05</v>
      </c>
      <c r="F11" s="92">
        <v>3.5000000000000003E-2</v>
      </c>
      <c r="G11" s="91">
        <f t="shared" si="1"/>
        <v>231.154</v>
      </c>
      <c r="H11" s="91">
        <f t="shared" si="0"/>
        <v>11.557700000000001</v>
      </c>
      <c r="I11" s="91">
        <f t="shared" si="2"/>
        <v>219.59629999999999</v>
      </c>
      <c r="J11" s="91">
        <f t="shared" si="3"/>
        <v>239.24439000000001</v>
      </c>
      <c r="K11" s="91">
        <f t="shared" si="4"/>
        <v>219.59629999999999</v>
      </c>
    </row>
    <row r="12" spans="1:11" x14ac:dyDescent="0.25">
      <c r="A12" s="89" t="s">
        <v>292</v>
      </c>
      <c r="B12" s="90" t="s">
        <v>647</v>
      </c>
      <c r="C12" s="91">
        <v>271.38041999999996</v>
      </c>
      <c r="D12" s="96"/>
      <c r="E12" s="92">
        <v>0.05</v>
      </c>
      <c r="F12" s="92">
        <v>3.5000000000000003E-2</v>
      </c>
      <c r="G12" s="91">
        <f t="shared" si="1"/>
        <v>271.38041999999996</v>
      </c>
      <c r="H12" s="91">
        <f t="shared" si="0"/>
        <v>13.569020999999999</v>
      </c>
      <c r="I12" s="91">
        <f t="shared" si="2"/>
        <v>257.81139899999994</v>
      </c>
      <c r="J12" s="91">
        <f t="shared" si="3"/>
        <v>280.87873469999994</v>
      </c>
      <c r="K12" s="91">
        <f t="shared" si="4"/>
        <v>257.81139899999994</v>
      </c>
    </row>
    <row r="13" spans="1:11" x14ac:dyDescent="0.25">
      <c r="A13" s="89" t="s">
        <v>442</v>
      </c>
      <c r="B13" s="90" t="s">
        <v>648</v>
      </c>
      <c r="C13" s="91">
        <v>141.73335</v>
      </c>
      <c r="D13" s="96"/>
      <c r="E13" s="92">
        <v>0.05</v>
      </c>
      <c r="F13" s="92">
        <v>3.5000000000000003E-2</v>
      </c>
      <c r="G13" s="91">
        <f t="shared" si="1"/>
        <v>141.73335</v>
      </c>
      <c r="H13" s="91">
        <f t="shared" si="0"/>
        <v>7.0866675000000008</v>
      </c>
      <c r="I13" s="91">
        <f t="shared" si="2"/>
        <v>134.6466825</v>
      </c>
      <c r="J13" s="91">
        <f t="shared" si="3"/>
        <v>146.69401725</v>
      </c>
      <c r="K13" s="91">
        <f t="shared" si="4"/>
        <v>134.6466825</v>
      </c>
    </row>
    <row r="14" spans="1:11" x14ac:dyDescent="0.25">
      <c r="A14" s="89" t="s">
        <v>302</v>
      </c>
      <c r="B14" s="90" t="s">
        <v>649</v>
      </c>
      <c r="C14" s="91">
        <v>153.54185000000001</v>
      </c>
      <c r="D14" s="96"/>
      <c r="E14" s="92">
        <v>0.05</v>
      </c>
      <c r="F14" s="92">
        <v>3.5000000000000003E-2</v>
      </c>
      <c r="G14" s="91">
        <f t="shared" si="1"/>
        <v>153.54185000000001</v>
      </c>
      <c r="H14" s="91">
        <f t="shared" si="0"/>
        <v>7.6770925000000005</v>
      </c>
      <c r="I14" s="91">
        <f t="shared" si="2"/>
        <v>145.8647575</v>
      </c>
      <c r="J14" s="91">
        <f t="shared" si="3"/>
        <v>158.91581475000001</v>
      </c>
      <c r="K14" s="91">
        <f t="shared" si="4"/>
        <v>145.8647575</v>
      </c>
    </row>
    <row r="15" spans="1:11" x14ac:dyDescent="0.25">
      <c r="A15" s="89" t="s">
        <v>441</v>
      </c>
      <c r="B15" s="90" t="s">
        <v>650</v>
      </c>
      <c r="C15" s="91">
        <v>138.83870000000002</v>
      </c>
      <c r="D15" s="96"/>
      <c r="E15" s="92">
        <v>0.05</v>
      </c>
      <c r="F15" s="92">
        <v>3.5000000000000003E-2</v>
      </c>
      <c r="G15" s="91">
        <f t="shared" si="1"/>
        <v>138.83870000000002</v>
      </c>
      <c r="H15" s="91">
        <f t="shared" si="0"/>
        <v>6.9419350000000009</v>
      </c>
      <c r="I15" s="91">
        <f t="shared" si="2"/>
        <v>131.89676500000002</v>
      </c>
      <c r="J15" s="91">
        <f t="shared" si="3"/>
        <v>143.69805450000001</v>
      </c>
      <c r="K15" s="91">
        <f t="shared" si="4"/>
        <v>131.89676500000002</v>
      </c>
    </row>
    <row r="16" spans="1:11" x14ac:dyDescent="0.25">
      <c r="A16" s="89" t="s">
        <v>300</v>
      </c>
      <c r="B16" s="90" t="s">
        <v>651</v>
      </c>
      <c r="C16" s="91">
        <v>138.83870000000002</v>
      </c>
      <c r="D16" s="96"/>
      <c r="E16" s="92">
        <v>0.05</v>
      </c>
      <c r="F16" s="92">
        <v>3.5000000000000003E-2</v>
      </c>
      <c r="G16" s="91">
        <f t="shared" si="1"/>
        <v>138.83870000000002</v>
      </c>
      <c r="H16" s="91">
        <f t="shared" si="0"/>
        <v>6.9419350000000009</v>
      </c>
      <c r="I16" s="91">
        <f t="shared" si="2"/>
        <v>131.89676500000002</v>
      </c>
      <c r="J16" s="91">
        <f t="shared" si="3"/>
        <v>143.69805450000001</v>
      </c>
      <c r="K16" s="91">
        <f t="shared" si="4"/>
        <v>131.89676500000002</v>
      </c>
    </row>
    <row r="17" spans="1:11" x14ac:dyDescent="0.25">
      <c r="A17" s="89" t="s">
        <v>440</v>
      </c>
      <c r="B17" s="90" t="s">
        <v>652</v>
      </c>
      <c r="C17" s="91">
        <v>144.61754999999997</v>
      </c>
      <c r="D17" s="96"/>
      <c r="E17" s="92">
        <v>0.05</v>
      </c>
      <c r="F17" s="92">
        <v>3.5000000000000003E-2</v>
      </c>
      <c r="G17" s="91">
        <f t="shared" si="1"/>
        <v>144.61754999999997</v>
      </c>
      <c r="H17" s="91">
        <f t="shared" si="0"/>
        <v>7.2308774999999983</v>
      </c>
      <c r="I17" s="91">
        <f t="shared" si="2"/>
        <v>137.38667249999997</v>
      </c>
      <c r="J17" s="91">
        <f t="shared" si="3"/>
        <v>149.67916424999996</v>
      </c>
      <c r="K17" s="91">
        <f t="shared" si="4"/>
        <v>137.38667249999997</v>
      </c>
    </row>
    <row r="18" spans="1:11" x14ac:dyDescent="0.25">
      <c r="A18" s="89" t="s">
        <v>301</v>
      </c>
      <c r="B18" s="90" t="s">
        <v>653</v>
      </c>
      <c r="C18" s="91">
        <v>140.2808</v>
      </c>
      <c r="D18" s="96"/>
      <c r="E18" s="92">
        <v>0.05</v>
      </c>
      <c r="F18" s="92">
        <v>3.5000000000000003E-2</v>
      </c>
      <c r="G18" s="91">
        <f t="shared" si="1"/>
        <v>140.2808</v>
      </c>
      <c r="H18" s="91">
        <f t="shared" si="0"/>
        <v>7.0140400000000005</v>
      </c>
      <c r="I18" s="91">
        <f t="shared" si="2"/>
        <v>133.26676</v>
      </c>
      <c r="J18" s="91">
        <f t="shared" si="3"/>
        <v>145.190628</v>
      </c>
      <c r="K18" s="91">
        <f t="shared" si="4"/>
        <v>133.26676</v>
      </c>
    </row>
    <row r="19" spans="1:11" x14ac:dyDescent="0.25">
      <c r="A19" s="89" t="s">
        <v>305</v>
      </c>
      <c r="B19" s="90" t="s">
        <v>654</v>
      </c>
      <c r="C19" s="91">
        <v>169.66620000000003</v>
      </c>
      <c r="D19" s="96"/>
      <c r="E19" s="92">
        <v>0.05</v>
      </c>
      <c r="F19" s="92">
        <v>3.5000000000000003E-2</v>
      </c>
      <c r="G19" s="91">
        <f t="shared" si="1"/>
        <v>169.66620000000003</v>
      </c>
      <c r="H19" s="91">
        <f t="shared" si="0"/>
        <v>8.4833100000000012</v>
      </c>
      <c r="I19" s="91">
        <f t="shared" si="2"/>
        <v>161.18289000000004</v>
      </c>
      <c r="J19" s="91">
        <f t="shared" si="3"/>
        <v>175.60451700000004</v>
      </c>
      <c r="K19" s="91">
        <f t="shared" si="4"/>
        <v>161.18289000000004</v>
      </c>
    </row>
    <row r="20" spans="1:11" x14ac:dyDescent="0.25">
      <c r="A20" s="89" t="s">
        <v>443</v>
      </c>
      <c r="B20" s="90" t="s">
        <v>655</v>
      </c>
      <c r="C20" s="91">
        <v>179.16524999999999</v>
      </c>
      <c r="D20" s="96"/>
      <c r="E20" s="92">
        <v>0.05</v>
      </c>
      <c r="F20" s="92">
        <v>3.5000000000000003E-2</v>
      </c>
      <c r="G20" s="91">
        <f t="shared" si="1"/>
        <v>179.16524999999999</v>
      </c>
      <c r="H20" s="91">
        <f t="shared" si="0"/>
        <v>8.9582625</v>
      </c>
      <c r="I20" s="91">
        <f t="shared" si="2"/>
        <v>170.2069875</v>
      </c>
      <c r="J20" s="91">
        <f t="shared" si="3"/>
        <v>185.43603374999998</v>
      </c>
      <c r="K20" s="91">
        <f t="shared" si="4"/>
        <v>170.2069875</v>
      </c>
    </row>
    <row r="21" spans="1:11" x14ac:dyDescent="0.25">
      <c r="A21" s="89" t="s">
        <v>304</v>
      </c>
      <c r="B21" s="90" t="s">
        <v>656</v>
      </c>
      <c r="C21" s="91">
        <v>223.20644249999998</v>
      </c>
      <c r="D21" s="96"/>
      <c r="E21" s="92">
        <v>0.05</v>
      </c>
      <c r="F21" s="92">
        <v>3.5000000000000003E-2</v>
      </c>
      <c r="G21" s="91">
        <f t="shared" si="1"/>
        <v>223.20644249999998</v>
      </c>
      <c r="H21" s="91">
        <f t="shared" si="0"/>
        <v>11.160322125</v>
      </c>
      <c r="I21" s="91">
        <f t="shared" si="2"/>
        <v>212.04612037499999</v>
      </c>
      <c r="J21" s="91">
        <f t="shared" si="3"/>
        <v>231.01866798749998</v>
      </c>
      <c r="K21" s="91">
        <f t="shared" si="4"/>
        <v>212.04612037499999</v>
      </c>
    </row>
    <row r="22" spans="1:11" x14ac:dyDescent="0.25">
      <c r="A22" s="89" t="s">
        <v>303</v>
      </c>
      <c r="B22" s="90" t="s">
        <v>657</v>
      </c>
      <c r="C22" s="91">
        <v>248.73417749999999</v>
      </c>
      <c r="D22" s="96"/>
      <c r="E22" s="92">
        <v>0.05</v>
      </c>
      <c r="F22" s="92">
        <v>3.5000000000000003E-2</v>
      </c>
      <c r="G22" s="91">
        <f t="shared" si="1"/>
        <v>248.73417749999999</v>
      </c>
      <c r="H22" s="91">
        <f t="shared" si="0"/>
        <v>12.436708875000001</v>
      </c>
      <c r="I22" s="91">
        <f t="shared" si="2"/>
        <v>236.29746862499999</v>
      </c>
      <c r="J22" s="91">
        <f t="shared" si="3"/>
        <v>257.4398737125</v>
      </c>
      <c r="K22" s="91">
        <f t="shared" si="4"/>
        <v>236.29746862499999</v>
      </c>
    </row>
    <row r="23" spans="1:11" x14ac:dyDescent="0.25">
      <c r="A23" s="89" t="s">
        <v>416</v>
      </c>
      <c r="B23" s="90" t="s">
        <v>680</v>
      </c>
      <c r="C23" s="91">
        <v>69.900000000000006</v>
      </c>
      <c r="D23" s="96"/>
      <c r="E23" s="92">
        <v>0.05</v>
      </c>
      <c r="F23" s="92">
        <v>3.5000000000000003E-2</v>
      </c>
      <c r="G23" s="91">
        <f t="shared" si="1"/>
        <v>69.900000000000006</v>
      </c>
      <c r="H23" s="91">
        <f t="shared" si="0"/>
        <v>3.4950000000000006</v>
      </c>
      <c r="I23" s="91">
        <f t="shared" si="2"/>
        <v>66.405000000000001</v>
      </c>
      <c r="J23" s="91">
        <f t="shared" si="3"/>
        <v>72.346500000000006</v>
      </c>
      <c r="K23" s="91">
        <f t="shared" si="4"/>
        <v>66.405000000000001</v>
      </c>
    </row>
    <row r="24" spans="1:11" x14ac:dyDescent="0.25">
      <c r="A24" s="93" t="s">
        <v>416</v>
      </c>
      <c r="B24" s="90" t="s">
        <v>681</v>
      </c>
      <c r="C24" s="91">
        <v>59.9</v>
      </c>
      <c r="D24" s="96"/>
      <c r="E24" s="92">
        <v>0.05</v>
      </c>
      <c r="F24" s="92">
        <v>3.5000000000000003E-2</v>
      </c>
      <c r="G24" s="91">
        <f t="shared" si="1"/>
        <v>59.9</v>
      </c>
      <c r="H24" s="91">
        <f t="shared" si="0"/>
        <v>2.9950000000000001</v>
      </c>
      <c r="I24" s="91">
        <f t="shared" si="2"/>
        <v>56.905000000000001</v>
      </c>
      <c r="J24" s="91">
        <f t="shared" si="3"/>
        <v>61.996499999999997</v>
      </c>
      <c r="K24" s="91">
        <f t="shared" si="4"/>
        <v>56.905000000000001</v>
      </c>
    </row>
    <row r="25" spans="1:11" x14ac:dyDescent="0.25">
      <c r="A25" s="89" t="s">
        <v>130</v>
      </c>
      <c r="B25" s="90" t="s">
        <v>683</v>
      </c>
      <c r="C25" s="91">
        <v>38.9</v>
      </c>
      <c r="D25" s="96"/>
      <c r="E25" s="92">
        <v>0.05</v>
      </c>
      <c r="F25" s="92">
        <v>3.5000000000000003E-2</v>
      </c>
      <c r="G25" s="91">
        <f t="shared" si="1"/>
        <v>38.9</v>
      </c>
      <c r="H25" s="91">
        <f t="shared" si="0"/>
        <v>1.9450000000000001</v>
      </c>
      <c r="I25" s="91">
        <f t="shared" si="2"/>
        <v>36.954999999999998</v>
      </c>
      <c r="J25" s="91">
        <f t="shared" si="3"/>
        <v>40.261499999999998</v>
      </c>
      <c r="K25" s="91">
        <f t="shared" si="4"/>
        <v>36.954999999999998</v>
      </c>
    </row>
    <row r="26" spans="1:11" x14ac:dyDescent="0.25">
      <c r="A26" s="89" t="s">
        <v>51</v>
      </c>
      <c r="B26" s="90" t="s">
        <v>684</v>
      </c>
      <c r="C26" s="91">
        <v>38.9</v>
      </c>
      <c r="D26" s="96"/>
      <c r="E26" s="92">
        <v>0.05</v>
      </c>
      <c r="F26" s="92">
        <v>3.5000000000000003E-2</v>
      </c>
      <c r="G26" s="91">
        <f t="shared" si="1"/>
        <v>38.9</v>
      </c>
      <c r="H26" s="91">
        <f t="shared" si="0"/>
        <v>1.9450000000000001</v>
      </c>
      <c r="I26" s="91">
        <f t="shared" si="2"/>
        <v>36.954999999999998</v>
      </c>
      <c r="J26" s="91">
        <f t="shared" si="3"/>
        <v>40.261499999999998</v>
      </c>
      <c r="K26" s="91">
        <f t="shared" si="4"/>
        <v>36.954999999999998</v>
      </c>
    </row>
    <row r="27" spans="1:11" x14ac:dyDescent="0.25">
      <c r="A27" s="89" t="s">
        <v>53</v>
      </c>
      <c r="B27" s="90" t="s">
        <v>685</v>
      </c>
      <c r="C27" s="91">
        <v>36.799999999999997</v>
      </c>
      <c r="D27" s="96"/>
      <c r="E27" s="92">
        <v>0.05</v>
      </c>
      <c r="F27" s="92">
        <v>3.5000000000000003E-2</v>
      </c>
      <c r="G27" s="91">
        <f t="shared" si="1"/>
        <v>36.799999999999997</v>
      </c>
      <c r="H27" s="91">
        <f t="shared" si="0"/>
        <v>1.8399999999999999</v>
      </c>
      <c r="I27" s="91">
        <f t="shared" si="2"/>
        <v>34.959999999999994</v>
      </c>
      <c r="J27" s="91">
        <f t="shared" si="3"/>
        <v>38.087999999999994</v>
      </c>
      <c r="K27" s="91">
        <f t="shared" si="4"/>
        <v>34.959999999999994</v>
      </c>
    </row>
    <row r="28" spans="1:11" x14ac:dyDescent="0.25">
      <c r="A28" s="89" t="s">
        <v>57</v>
      </c>
      <c r="B28" s="90" t="s">
        <v>686</v>
      </c>
      <c r="C28" s="91">
        <v>37.9</v>
      </c>
      <c r="D28" s="96"/>
      <c r="E28" s="92">
        <v>0.05</v>
      </c>
      <c r="F28" s="92">
        <v>3.5000000000000003E-2</v>
      </c>
      <c r="G28" s="91">
        <f t="shared" si="1"/>
        <v>37.9</v>
      </c>
      <c r="H28" s="91">
        <f t="shared" si="0"/>
        <v>1.895</v>
      </c>
      <c r="I28" s="91">
        <f t="shared" si="2"/>
        <v>36.004999999999995</v>
      </c>
      <c r="J28" s="91">
        <f t="shared" si="3"/>
        <v>39.226500000000001</v>
      </c>
      <c r="K28" s="91">
        <f t="shared" si="4"/>
        <v>36.004999999999995</v>
      </c>
    </row>
    <row r="29" spans="1:11" x14ac:dyDescent="0.25">
      <c r="A29" s="89" t="s">
        <v>55</v>
      </c>
      <c r="B29" s="90" t="s">
        <v>687</v>
      </c>
      <c r="C29" s="91">
        <v>27.9</v>
      </c>
      <c r="D29" s="96"/>
      <c r="E29" s="92">
        <v>0.05</v>
      </c>
      <c r="F29" s="92">
        <v>3.5000000000000003E-2</v>
      </c>
      <c r="G29" s="91">
        <f t="shared" si="1"/>
        <v>27.9</v>
      </c>
      <c r="H29" s="91">
        <f t="shared" si="0"/>
        <v>1.395</v>
      </c>
      <c r="I29" s="91">
        <f t="shared" si="2"/>
        <v>26.504999999999999</v>
      </c>
      <c r="J29" s="91">
        <f t="shared" si="3"/>
        <v>28.8765</v>
      </c>
      <c r="K29" s="91">
        <f t="shared" si="4"/>
        <v>26.504999999999999</v>
      </c>
    </row>
    <row r="30" spans="1:11" x14ac:dyDescent="0.25">
      <c r="A30" s="89" t="s">
        <v>67</v>
      </c>
      <c r="B30" s="90" t="s">
        <v>690</v>
      </c>
      <c r="C30" s="91">
        <v>29.9</v>
      </c>
      <c r="D30" s="96"/>
      <c r="E30" s="92">
        <v>0.05</v>
      </c>
      <c r="F30" s="92">
        <v>3.5000000000000003E-2</v>
      </c>
      <c r="G30" s="91">
        <f t="shared" si="1"/>
        <v>29.9</v>
      </c>
      <c r="H30" s="91">
        <f t="shared" si="0"/>
        <v>1.4950000000000001</v>
      </c>
      <c r="I30" s="91">
        <f t="shared" si="2"/>
        <v>28.404999999999998</v>
      </c>
      <c r="J30" s="91">
        <f t="shared" si="3"/>
        <v>30.9465</v>
      </c>
      <c r="K30" s="91">
        <f t="shared" si="4"/>
        <v>28.404999999999998</v>
      </c>
    </row>
    <row r="31" spans="1:11" x14ac:dyDescent="0.25">
      <c r="A31" s="89" t="s">
        <v>70</v>
      </c>
      <c r="B31" s="90" t="s">
        <v>691</v>
      </c>
      <c r="C31" s="91">
        <v>29.9</v>
      </c>
      <c r="D31" s="96"/>
      <c r="E31" s="92">
        <v>0.05</v>
      </c>
      <c r="F31" s="92">
        <v>3.5000000000000003E-2</v>
      </c>
      <c r="G31" s="91">
        <f t="shared" si="1"/>
        <v>29.9</v>
      </c>
      <c r="H31" s="91">
        <f t="shared" si="0"/>
        <v>1.4950000000000001</v>
      </c>
      <c r="I31" s="91">
        <f t="shared" si="2"/>
        <v>28.404999999999998</v>
      </c>
      <c r="J31" s="91">
        <f t="shared" si="3"/>
        <v>30.9465</v>
      </c>
      <c r="K31" s="91">
        <f t="shared" si="4"/>
        <v>28.404999999999998</v>
      </c>
    </row>
    <row r="32" spans="1:11" x14ac:dyDescent="0.25">
      <c r="A32" s="89" t="s">
        <v>83</v>
      </c>
      <c r="B32" s="90" t="s">
        <v>275</v>
      </c>
      <c r="C32" s="91">
        <v>29.95</v>
      </c>
      <c r="D32" s="96"/>
      <c r="E32" s="92">
        <v>0.05</v>
      </c>
      <c r="F32" s="92">
        <v>3.5000000000000003E-2</v>
      </c>
      <c r="G32" s="91">
        <f t="shared" si="1"/>
        <v>29.95</v>
      </c>
      <c r="H32" s="91">
        <f t="shared" si="0"/>
        <v>1.4975000000000001</v>
      </c>
      <c r="I32" s="91">
        <f t="shared" si="2"/>
        <v>28.452500000000001</v>
      </c>
      <c r="J32" s="91">
        <f t="shared" si="3"/>
        <v>30.998249999999999</v>
      </c>
      <c r="K32" s="91">
        <f t="shared" si="4"/>
        <v>28.452500000000001</v>
      </c>
    </row>
    <row r="33" spans="1:11" x14ac:dyDescent="0.25">
      <c r="A33" s="89" t="s">
        <v>131</v>
      </c>
      <c r="B33" s="90" t="s">
        <v>698</v>
      </c>
      <c r="C33" s="91">
        <v>22.9</v>
      </c>
      <c r="D33" s="96"/>
      <c r="E33" s="92">
        <v>0.05</v>
      </c>
      <c r="F33" s="92">
        <v>3.5000000000000003E-2</v>
      </c>
      <c r="G33" s="91">
        <f t="shared" si="1"/>
        <v>22.9</v>
      </c>
      <c r="H33" s="91">
        <f t="shared" si="0"/>
        <v>1.145</v>
      </c>
      <c r="I33" s="91">
        <f t="shared" si="2"/>
        <v>21.754999999999999</v>
      </c>
      <c r="J33" s="91">
        <f t="shared" si="3"/>
        <v>23.701499999999999</v>
      </c>
      <c r="K33" s="91">
        <f t="shared" si="4"/>
        <v>21.754999999999999</v>
      </c>
    </row>
    <row r="34" spans="1:11" x14ac:dyDescent="0.25">
      <c r="A34" s="89" t="s">
        <v>88</v>
      </c>
      <c r="B34" s="90" t="s">
        <v>699</v>
      </c>
      <c r="C34" s="91">
        <v>47.476000000000006</v>
      </c>
      <c r="D34" s="96"/>
      <c r="E34" s="92">
        <v>0.05</v>
      </c>
      <c r="F34" s="92">
        <v>3.5000000000000003E-2</v>
      </c>
      <c r="G34" s="91">
        <f t="shared" si="1"/>
        <v>47.476000000000006</v>
      </c>
      <c r="H34" s="91">
        <f t="shared" ref="H34:H60" si="5">C34*E34</f>
        <v>2.3738000000000006</v>
      </c>
      <c r="I34" s="91">
        <f t="shared" si="2"/>
        <v>45.102200000000003</v>
      </c>
      <c r="J34" s="91">
        <f t="shared" si="3"/>
        <v>49.137660000000004</v>
      </c>
      <c r="K34" s="91">
        <f t="shared" si="4"/>
        <v>45.102200000000003</v>
      </c>
    </row>
    <row r="35" spans="1:11" x14ac:dyDescent="0.25">
      <c r="A35" s="89" t="s">
        <v>91</v>
      </c>
      <c r="B35" s="90" t="s">
        <v>700</v>
      </c>
      <c r="C35" s="91">
        <v>51.926500000000004</v>
      </c>
      <c r="D35" s="96"/>
      <c r="E35" s="92">
        <v>0.05</v>
      </c>
      <c r="F35" s="92">
        <v>3.5000000000000003E-2</v>
      </c>
      <c r="G35" s="91">
        <f t="shared" si="1"/>
        <v>51.926500000000004</v>
      </c>
      <c r="H35" s="91">
        <f t="shared" si="5"/>
        <v>2.5963250000000002</v>
      </c>
      <c r="I35" s="91">
        <f t="shared" si="2"/>
        <v>49.330175000000004</v>
      </c>
      <c r="J35" s="91">
        <f t="shared" si="3"/>
        <v>53.743927500000005</v>
      </c>
      <c r="K35" s="91">
        <f t="shared" si="4"/>
        <v>49.330175000000004</v>
      </c>
    </row>
    <row r="36" spans="1:11" x14ac:dyDescent="0.25">
      <c r="A36" s="89" t="s">
        <v>134</v>
      </c>
      <c r="B36" s="90" t="s">
        <v>277</v>
      </c>
      <c r="C36" s="91">
        <v>19.911999999999999</v>
      </c>
      <c r="D36" s="96"/>
      <c r="E36" s="92">
        <v>0.05</v>
      </c>
      <c r="F36" s="92">
        <v>3.5000000000000003E-2</v>
      </c>
      <c r="G36" s="91">
        <f t="shared" si="1"/>
        <v>19.911999999999999</v>
      </c>
      <c r="H36" s="91">
        <f t="shared" si="5"/>
        <v>0.99560000000000004</v>
      </c>
      <c r="I36" s="91">
        <f t="shared" si="2"/>
        <v>18.916399999999999</v>
      </c>
      <c r="J36" s="91">
        <f t="shared" si="3"/>
        <v>20.608919999999998</v>
      </c>
      <c r="K36" s="91">
        <f t="shared" si="4"/>
        <v>18.916399999999999</v>
      </c>
    </row>
    <row r="37" spans="1:11" x14ac:dyDescent="0.25">
      <c r="A37" s="89" t="s">
        <v>101</v>
      </c>
      <c r="B37" s="90" t="s">
        <v>701</v>
      </c>
      <c r="C37" s="91">
        <v>39.9</v>
      </c>
      <c r="D37" s="96"/>
      <c r="E37" s="92">
        <v>0.05</v>
      </c>
      <c r="F37" s="92">
        <v>3.5000000000000003E-2</v>
      </c>
      <c r="G37" s="91">
        <f t="shared" si="1"/>
        <v>39.9</v>
      </c>
      <c r="H37" s="91">
        <f t="shared" si="5"/>
        <v>1.9950000000000001</v>
      </c>
      <c r="I37" s="91">
        <f t="shared" si="2"/>
        <v>37.905000000000001</v>
      </c>
      <c r="J37" s="91">
        <f t="shared" si="3"/>
        <v>41.296500000000002</v>
      </c>
      <c r="K37" s="91">
        <f t="shared" si="4"/>
        <v>37.905000000000001</v>
      </c>
    </row>
    <row r="38" spans="1:11" x14ac:dyDescent="0.25">
      <c r="A38" s="89" t="s">
        <v>107</v>
      </c>
      <c r="B38" s="90" t="s">
        <v>702</v>
      </c>
      <c r="C38" s="91">
        <v>29.9</v>
      </c>
      <c r="D38" s="96"/>
      <c r="E38" s="92">
        <v>0.05</v>
      </c>
      <c r="F38" s="92">
        <v>3.5000000000000003E-2</v>
      </c>
      <c r="G38" s="91">
        <f t="shared" si="1"/>
        <v>29.9</v>
      </c>
      <c r="H38" s="91">
        <f t="shared" si="5"/>
        <v>1.4950000000000001</v>
      </c>
      <c r="I38" s="91">
        <f t="shared" si="2"/>
        <v>28.404999999999998</v>
      </c>
      <c r="J38" s="91">
        <f t="shared" si="3"/>
        <v>30.9465</v>
      </c>
      <c r="K38" s="91">
        <f t="shared" si="4"/>
        <v>28.404999999999998</v>
      </c>
    </row>
    <row r="39" spans="1:11" x14ac:dyDescent="0.25">
      <c r="A39" s="89" t="s">
        <v>104</v>
      </c>
      <c r="B39" s="90" t="s">
        <v>703</v>
      </c>
      <c r="C39" s="91">
        <v>53.9</v>
      </c>
      <c r="D39" s="96"/>
      <c r="E39" s="92">
        <v>0.05</v>
      </c>
      <c r="F39" s="92">
        <v>3.5000000000000003E-2</v>
      </c>
      <c r="G39" s="91">
        <f t="shared" si="1"/>
        <v>53.9</v>
      </c>
      <c r="H39" s="91">
        <f t="shared" si="5"/>
        <v>2.6950000000000003</v>
      </c>
      <c r="I39" s="91">
        <f t="shared" si="2"/>
        <v>51.204999999999998</v>
      </c>
      <c r="J39" s="91">
        <f t="shared" si="3"/>
        <v>55.786499999999997</v>
      </c>
      <c r="K39" s="91">
        <f t="shared" si="4"/>
        <v>51.204999999999998</v>
      </c>
    </row>
    <row r="40" spans="1:11" x14ac:dyDescent="0.25">
      <c r="A40" s="89" t="s">
        <v>110</v>
      </c>
      <c r="B40" s="90" t="s">
        <v>704</v>
      </c>
      <c r="C40" s="91">
        <v>36.9</v>
      </c>
      <c r="D40" s="96"/>
      <c r="E40" s="92">
        <v>0.05</v>
      </c>
      <c r="F40" s="92">
        <v>3.5000000000000003E-2</v>
      </c>
      <c r="G40" s="91">
        <f t="shared" si="1"/>
        <v>36.9</v>
      </c>
      <c r="H40" s="91">
        <f t="shared" si="5"/>
        <v>1.845</v>
      </c>
      <c r="I40" s="91">
        <f t="shared" si="2"/>
        <v>35.055</v>
      </c>
      <c r="J40" s="91">
        <f t="shared" si="3"/>
        <v>38.191499999999998</v>
      </c>
      <c r="K40" s="91">
        <f t="shared" si="4"/>
        <v>35.055</v>
      </c>
    </row>
    <row r="41" spans="1:11" x14ac:dyDescent="0.25">
      <c r="A41" s="89" t="s">
        <v>119</v>
      </c>
      <c r="B41" s="90" t="s">
        <v>705</v>
      </c>
      <c r="C41" s="91">
        <v>36.923999999999999</v>
      </c>
      <c r="D41" s="96"/>
      <c r="E41" s="92">
        <v>0.05</v>
      </c>
      <c r="F41" s="92">
        <v>3.5000000000000003E-2</v>
      </c>
      <c r="G41" s="91">
        <f t="shared" si="1"/>
        <v>36.923999999999999</v>
      </c>
      <c r="H41" s="91">
        <f t="shared" si="5"/>
        <v>1.8462000000000001</v>
      </c>
      <c r="I41" s="91">
        <f t="shared" si="2"/>
        <v>35.077799999999996</v>
      </c>
      <c r="J41" s="91">
        <f t="shared" si="3"/>
        <v>38.216340000000002</v>
      </c>
      <c r="K41" s="91">
        <f t="shared" si="4"/>
        <v>35.077799999999996</v>
      </c>
    </row>
    <row r="42" spans="1:11" x14ac:dyDescent="0.25">
      <c r="A42" s="89" t="s">
        <v>122</v>
      </c>
      <c r="B42" s="90" t="s">
        <v>706</v>
      </c>
      <c r="C42" s="91">
        <v>36.923999999999999</v>
      </c>
      <c r="D42" s="96"/>
      <c r="E42" s="92">
        <v>0.05</v>
      </c>
      <c r="F42" s="92">
        <v>3.5000000000000003E-2</v>
      </c>
      <c r="G42" s="91">
        <f t="shared" si="1"/>
        <v>36.923999999999999</v>
      </c>
      <c r="H42" s="91">
        <f t="shared" si="5"/>
        <v>1.8462000000000001</v>
      </c>
      <c r="I42" s="91">
        <f t="shared" si="2"/>
        <v>35.077799999999996</v>
      </c>
      <c r="J42" s="91">
        <f t="shared" si="3"/>
        <v>38.216340000000002</v>
      </c>
      <c r="K42" s="91">
        <f t="shared" si="4"/>
        <v>35.077799999999996</v>
      </c>
    </row>
    <row r="43" spans="1:11" x14ac:dyDescent="0.25">
      <c r="A43" s="89" t="s">
        <v>143</v>
      </c>
      <c r="B43" s="90" t="s">
        <v>712</v>
      </c>
      <c r="C43" s="91">
        <v>59.9</v>
      </c>
      <c r="D43" s="96"/>
      <c r="E43" s="92">
        <v>0.05</v>
      </c>
      <c r="F43" s="92">
        <v>3.5000000000000003E-2</v>
      </c>
      <c r="G43" s="91">
        <f t="shared" si="1"/>
        <v>59.9</v>
      </c>
      <c r="H43" s="91">
        <f t="shared" si="5"/>
        <v>2.9950000000000001</v>
      </c>
      <c r="I43" s="91">
        <f t="shared" si="2"/>
        <v>56.905000000000001</v>
      </c>
      <c r="J43" s="91">
        <f t="shared" si="3"/>
        <v>61.996499999999997</v>
      </c>
      <c r="K43" s="91">
        <f t="shared" si="4"/>
        <v>56.905000000000001</v>
      </c>
    </row>
    <row r="44" spans="1:11" x14ac:dyDescent="0.25">
      <c r="A44" s="89" t="s">
        <v>95</v>
      </c>
      <c r="B44" s="90" t="s">
        <v>716</v>
      </c>
      <c r="C44" s="91">
        <v>12.9</v>
      </c>
      <c r="D44" s="96"/>
      <c r="E44" s="92">
        <v>0.05</v>
      </c>
      <c r="F44" s="92">
        <v>3.5000000000000003E-2</v>
      </c>
      <c r="G44" s="91">
        <f t="shared" si="1"/>
        <v>12.9</v>
      </c>
      <c r="H44" s="91">
        <f t="shared" si="5"/>
        <v>0.64500000000000002</v>
      </c>
      <c r="I44" s="91">
        <f t="shared" si="2"/>
        <v>12.255000000000001</v>
      </c>
      <c r="J44" s="91">
        <f t="shared" si="3"/>
        <v>13.3515</v>
      </c>
      <c r="K44" s="91">
        <f t="shared" si="4"/>
        <v>12.255000000000001</v>
      </c>
    </row>
    <row r="45" spans="1:11" x14ac:dyDescent="0.25">
      <c r="A45" s="89" t="s">
        <v>157</v>
      </c>
      <c r="B45" s="90" t="s">
        <v>745</v>
      </c>
      <c r="C45" s="91">
        <v>24.13278</v>
      </c>
      <c r="D45" s="96"/>
      <c r="E45" s="92">
        <v>0.05</v>
      </c>
      <c r="F45" s="92">
        <v>3.5000000000000003E-2</v>
      </c>
      <c r="G45" s="91">
        <f t="shared" si="1"/>
        <v>24.13278</v>
      </c>
      <c r="H45" s="91">
        <f t="shared" si="5"/>
        <v>1.206639</v>
      </c>
      <c r="I45" s="91">
        <f t="shared" si="2"/>
        <v>22.926141000000001</v>
      </c>
      <c r="J45" s="91">
        <f t="shared" si="3"/>
        <v>24.977427300000002</v>
      </c>
      <c r="K45" s="91">
        <f t="shared" si="4"/>
        <v>22.926141000000001</v>
      </c>
    </row>
    <row r="46" spans="1:11" x14ac:dyDescent="0.25">
      <c r="A46" s="89" t="s">
        <v>160</v>
      </c>
      <c r="B46" s="90" t="s">
        <v>746</v>
      </c>
      <c r="C46" s="91">
        <v>24.13278</v>
      </c>
      <c r="D46" s="96"/>
      <c r="E46" s="92">
        <v>0.05</v>
      </c>
      <c r="F46" s="92">
        <v>3.5000000000000003E-2</v>
      </c>
      <c r="G46" s="91">
        <f t="shared" si="1"/>
        <v>24.13278</v>
      </c>
      <c r="H46" s="91">
        <f t="shared" si="5"/>
        <v>1.206639</v>
      </c>
      <c r="I46" s="91">
        <f t="shared" si="2"/>
        <v>22.926141000000001</v>
      </c>
      <c r="J46" s="91">
        <f t="shared" si="3"/>
        <v>24.977427300000002</v>
      </c>
      <c r="K46" s="91">
        <f t="shared" si="4"/>
        <v>22.926141000000001</v>
      </c>
    </row>
    <row r="47" spans="1:11" x14ac:dyDescent="0.25">
      <c r="A47" s="89" t="s">
        <v>163</v>
      </c>
      <c r="B47" s="90" t="s">
        <v>747</v>
      </c>
      <c r="C47" s="91">
        <v>24.13278</v>
      </c>
      <c r="D47" s="96"/>
      <c r="E47" s="92">
        <v>0.05</v>
      </c>
      <c r="F47" s="92">
        <v>3.5000000000000003E-2</v>
      </c>
      <c r="G47" s="91">
        <f t="shared" si="1"/>
        <v>24.13278</v>
      </c>
      <c r="H47" s="91">
        <f t="shared" si="5"/>
        <v>1.206639</v>
      </c>
      <c r="I47" s="91">
        <f t="shared" si="2"/>
        <v>22.926141000000001</v>
      </c>
      <c r="J47" s="91">
        <f t="shared" si="3"/>
        <v>24.977427300000002</v>
      </c>
      <c r="K47" s="91">
        <f t="shared" si="4"/>
        <v>22.926141000000001</v>
      </c>
    </row>
    <row r="48" spans="1:11" x14ac:dyDescent="0.25">
      <c r="A48" s="89" t="s">
        <v>166</v>
      </c>
      <c r="B48" s="90" t="s">
        <v>748</v>
      </c>
      <c r="C48" s="91">
        <v>25.403040000000001</v>
      </c>
      <c r="D48" s="96"/>
      <c r="E48" s="92">
        <v>0.05</v>
      </c>
      <c r="F48" s="92">
        <v>3.5000000000000003E-2</v>
      </c>
      <c r="G48" s="91">
        <f t="shared" si="1"/>
        <v>25.403040000000001</v>
      </c>
      <c r="H48" s="91">
        <f t="shared" si="5"/>
        <v>1.2701520000000002</v>
      </c>
      <c r="I48" s="91">
        <f t="shared" si="2"/>
        <v>24.132888000000001</v>
      </c>
      <c r="J48" s="91">
        <f t="shared" si="3"/>
        <v>26.2921464</v>
      </c>
      <c r="K48" s="91">
        <f t="shared" si="4"/>
        <v>24.132888000000001</v>
      </c>
    </row>
    <row r="49" spans="1:11" x14ac:dyDescent="0.25">
      <c r="A49" s="89" t="s">
        <v>169</v>
      </c>
      <c r="B49" s="90" t="s">
        <v>749</v>
      </c>
      <c r="C49" s="91">
        <v>25.403040000000001</v>
      </c>
      <c r="D49" s="96"/>
      <c r="E49" s="92">
        <v>0.05</v>
      </c>
      <c r="F49" s="92">
        <v>3.5000000000000003E-2</v>
      </c>
      <c r="G49" s="91">
        <f t="shared" si="1"/>
        <v>25.403040000000001</v>
      </c>
      <c r="H49" s="91">
        <f t="shared" si="5"/>
        <v>1.2701520000000002</v>
      </c>
      <c r="I49" s="91">
        <f t="shared" si="2"/>
        <v>24.132888000000001</v>
      </c>
      <c r="J49" s="91">
        <f t="shared" si="3"/>
        <v>26.2921464</v>
      </c>
      <c r="K49" s="91">
        <f t="shared" si="4"/>
        <v>24.132888000000001</v>
      </c>
    </row>
    <row r="50" spans="1:11" x14ac:dyDescent="0.25">
      <c r="A50" s="89" t="s">
        <v>172</v>
      </c>
      <c r="B50" s="90" t="s">
        <v>750</v>
      </c>
      <c r="C50" s="91">
        <v>25.403040000000001</v>
      </c>
      <c r="D50" s="96"/>
      <c r="E50" s="92">
        <v>0.05</v>
      </c>
      <c r="F50" s="92">
        <v>3.5000000000000003E-2</v>
      </c>
      <c r="G50" s="91">
        <f t="shared" si="1"/>
        <v>25.403040000000001</v>
      </c>
      <c r="H50" s="91">
        <f t="shared" si="5"/>
        <v>1.2701520000000002</v>
      </c>
      <c r="I50" s="91">
        <f t="shared" si="2"/>
        <v>24.132888000000001</v>
      </c>
      <c r="J50" s="91">
        <f t="shared" si="3"/>
        <v>26.2921464</v>
      </c>
      <c r="K50" s="91">
        <f t="shared" si="4"/>
        <v>24.132888000000001</v>
      </c>
    </row>
    <row r="51" spans="1:11" x14ac:dyDescent="0.25">
      <c r="A51" s="94" t="s">
        <v>475</v>
      </c>
      <c r="B51" s="95" t="s">
        <v>752</v>
      </c>
      <c r="C51" s="91">
        <v>117.1344</v>
      </c>
      <c r="D51" s="96"/>
      <c r="E51" s="92">
        <v>0.05</v>
      </c>
      <c r="F51" s="92">
        <v>3.5000000000000003E-2</v>
      </c>
      <c r="G51" s="91">
        <f t="shared" si="1"/>
        <v>117.1344</v>
      </c>
      <c r="H51" s="91">
        <f t="shared" si="5"/>
        <v>5.8567200000000001</v>
      </c>
      <c r="I51" s="91">
        <f t="shared" si="2"/>
        <v>111.27768</v>
      </c>
      <c r="J51" s="91">
        <f t="shared" si="3"/>
        <v>121.234104</v>
      </c>
      <c r="K51" s="91">
        <f t="shared" si="4"/>
        <v>111.27768</v>
      </c>
    </row>
    <row r="52" spans="1:11" x14ac:dyDescent="0.25">
      <c r="A52" s="94" t="s">
        <v>510</v>
      </c>
      <c r="B52" s="95" t="s">
        <v>754</v>
      </c>
      <c r="C52" s="91">
        <v>117.1344</v>
      </c>
      <c r="D52" s="96"/>
      <c r="E52" s="92">
        <v>0.05</v>
      </c>
      <c r="F52" s="92">
        <v>3.5000000000000003E-2</v>
      </c>
      <c r="G52" s="91">
        <f t="shared" si="1"/>
        <v>117.1344</v>
      </c>
      <c r="H52" s="91">
        <f t="shared" si="5"/>
        <v>5.8567200000000001</v>
      </c>
      <c r="I52" s="91">
        <f t="shared" si="2"/>
        <v>111.27768</v>
      </c>
      <c r="J52" s="91">
        <f t="shared" si="3"/>
        <v>121.234104</v>
      </c>
      <c r="K52" s="91">
        <f t="shared" si="4"/>
        <v>111.27768</v>
      </c>
    </row>
    <row r="53" spans="1:11" x14ac:dyDescent="0.25">
      <c r="A53" s="94" t="s">
        <v>501</v>
      </c>
      <c r="B53" s="95" t="s">
        <v>755</v>
      </c>
      <c r="C53" s="91">
        <v>164.31200000000001</v>
      </c>
      <c r="D53" s="96"/>
      <c r="E53" s="92">
        <v>0.05</v>
      </c>
      <c r="F53" s="92">
        <v>3.5000000000000003E-2</v>
      </c>
      <c r="G53" s="91">
        <f t="shared" si="1"/>
        <v>164.31200000000001</v>
      </c>
      <c r="H53" s="91">
        <f t="shared" si="5"/>
        <v>8.2156000000000002</v>
      </c>
      <c r="I53" s="91">
        <f t="shared" si="2"/>
        <v>156.09640000000002</v>
      </c>
      <c r="J53" s="91">
        <f t="shared" si="3"/>
        <v>170.06292000000002</v>
      </c>
      <c r="K53" s="91">
        <f t="shared" si="4"/>
        <v>156.09640000000002</v>
      </c>
    </row>
    <row r="54" spans="1:11" x14ac:dyDescent="0.25">
      <c r="A54" s="94" t="s">
        <v>532</v>
      </c>
      <c r="B54" s="95" t="s">
        <v>757</v>
      </c>
      <c r="C54" s="91">
        <v>129.07600000000002</v>
      </c>
      <c r="D54" s="96"/>
      <c r="E54" s="92">
        <v>0.05</v>
      </c>
      <c r="F54" s="92">
        <v>3.5000000000000003E-2</v>
      </c>
      <c r="G54" s="91">
        <f t="shared" si="1"/>
        <v>129.07600000000002</v>
      </c>
      <c r="H54" s="91">
        <f t="shared" si="5"/>
        <v>6.4538000000000011</v>
      </c>
      <c r="I54" s="91">
        <f t="shared" si="2"/>
        <v>122.62220000000002</v>
      </c>
      <c r="J54" s="91">
        <f t="shared" si="3"/>
        <v>133.59366000000003</v>
      </c>
      <c r="K54" s="91">
        <f t="shared" si="4"/>
        <v>122.62220000000002</v>
      </c>
    </row>
    <row r="55" spans="1:11" x14ac:dyDescent="0.25">
      <c r="A55" s="89" t="s">
        <v>531</v>
      </c>
      <c r="B55" s="95" t="s">
        <v>758</v>
      </c>
      <c r="C55" s="91">
        <v>136.97880000000001</v>
      </c>
      <c r="D55" s="96"/>
      <c r="E55" s="92">
        <v>0.05</v>
      </c>
      <c r="F55" s="92">
        <v>3.5000000000000003E-2</v>
      </c>
      <c r="G55" s="91">
        <f t="shared" si="1"/>
        <v>136.97880000000001</v>
      </c>
      <c r="H55" s="91">
        <f t="shared" si="5"/>
        <v>6.8489400000000007</v>
      </c>
      <c r="I55" s="91">
        <f t="shared" si="2"/>
        <v>130.12986000000001</v>
      </c>
      <c r="J55" s="91">
        <f t="shared" si="3"/>
        <v>141.77305800000002</v>
      </c>
      <c r="K55" s="91">
        <f t="shared" si="4"/>
        <v>130.12986000000001</v>
      </c>
    </row>
    <row r="56" spans="1:11" x14ac:dyDescent="0.25">
      <c r="A56" s="89" t="s">
        <v>524</v>
      </c>
      <c r="B56" s="95" t="s">
        <v>760</v>
      </c>
      <c r="C56" s="91">
        <v>181.24199999999999</v>
      </c>
      <c r="D56" s="96"/>
      <c r="E56" s="92">
        <v>0.05</v>
      </c>
      <c r="F56" s="92">
        <v>3.5000000000000003E-2</v>
      </c>
      <c r="G56" s="91">
        <f t="shared" si="1"/>
        <v>181.24199999999999</v>
      </c>
      <c r="H56" s="91">
        <f t="shared" si="5"/>
        <v>9.0620999999999992</v>
      </c>
      <c r="I56" s="91">
        <f t="shared" si="2"/>
        <v>172.1799</v>
      </c>
      <c r="J56" s="91">
        <f t="shared" si="3"/>
        <v>187.58546999999999</v>
      </c>
      <c r="K56" s="91">
        <f t="shared" si="4"/>
        <v>172.1799</v>
      </c>
    </row>
    <row r="57" spans="1:11" x14ac:dyDescent="0.25">
      <c r="A57" s="89" t="s">
        <v>41</v>
      </c>
      <c r="B57" s="90" t="s">
        <v>761</v>
      </c>
      <c r="C57" s="91">
        <v>99.9</v>
      </c>
      <c r="D57" s="96"/>
      <c r="E57" s="92">
        <v>0.05</v>
      </c>
      <c r="F57" s="92">
        <v>3.5000000000000003E-2</v>
      </c>
      <c r="G57" s="91">
        <f t="shared" si="1"/>
        <v>99.9</v>
      </c>
      <c r="H57" s="91">
        <f t="shared" si="5"/>
        <v>4.995000000000001</v>
      </c>
      <c r="I57" s="91">
        <f t="shared" si="2"/>
        <v>94.905000000000001</v>
      </c>
      <c r="J57" s="91">
        <f t="shared" si="3"/>
        <v>103.3965</v>
      </c>
      <c r="K57" s="91">
        <f t="shared" si="4"/>
        <v>94.905000000000001</v>
      </c>
    </row>
    <row r="58" spans="1:11" x14ac:dyDescent="0.25">
      <c r="A58" s="89" t="s">
        <v>40</v>
      </c>
      <c r="B58" s="90" t="s">
        <v>762</v>
      </c>
      <c r="C58" s="91">
        <v>99.9</v>
      </c>
      <c r="D58" s="96"/>
      <c r="E58" s="92">
        <v>0.05</v>
      </c>
      <c r="F58" s="92">
        <v>3.5000000000000003E-2</v>
      </c>
      <c r="G58" s="91">
        <f t="shared" si="1"/>
        <v>99.9</v>
      </c>
      <c r="H58" s="91">
        <f t="shared" si="5"/>
        <v>4.995000000000001</v>
      </c>
      <c r="I58" s="91">
        <f t="shared" si="2"/>
        <v>94.905000000000001</v>
      </c>
      <c r="J58" s="91">
        <f t="shared" si="3"/>
        <v>103.3965</v>
      </c>
      <c r="K58" s="91">
        <f t="shared" si="4"/>
        <v>94.905000000000001</v>
      </c>
    </row>
    <row r="59" spans="1:11" x14ac:dyDescent="0.25">
      <c r="A59" s="89" t="s">
        <v>190</v>
      </c>
      <c r="B59" s="90" t="s">
        <v>391</v>
      </c>
      <c r="C59" s="91">
        <v>179.9</v>
      </c>
      <c r="D59" s="96"/>
      <c r="E59" s="92">
        <v>0.05</v>
      </c>
      <c r="F59" s="92">
        <v>3.5000000000000003E-2</v>
      </c>
      <c r="G59" s="91">
        <f t="shared" si="1"/>
        <v>179.9</v>
      </c>
      <c r="H59" s="91">
        <f t="shared" si="5"/>
        <v>8.995000000000001</v>
      </c>
      <c r="I59" s="91">
        <f t="shared" si="2"/>
        <v>170.905</v>
      </c>
      <c r="J59" s="91">
        <f t="shared" si="3"/>
        <v>186.19650000000001</v>
      </c>
      <c r="K59" s="91">
        <f t="shared" si="4"/>
        <v>170.905</v>
      </c>
    </row>
    <row r="60" spans="1:11" x14ac:dyDescent="0.25">
      <c r="A60" s="89" t="s">
        <v>189</v>
      </c>
      <c r="B60" s="90" t="s">
        <v>375</v>
      </c>
      <c r="C60" s="91">
        <v>179.9</v>
      </c>
      <c r="D60" s="96"/>
      <c r="E60" s="92">
        <v>0.05</v>
      </c>
      <c r="F60" s="92">
        <v>3.5000000000000003E-2</v>
      </c>
      <c r="G60" s="91">
        <f t="shared" si="1"/>
        <v>179.9</v>
      </c>
      <c r="H60" s="91">
        <f t="shared" si="5"/>
        <v>8.995000000000001</v>
      </c>
      <c r="I60" s="91">
        <f t="shared" si="2"/>
        <v>170.905</v>
      </c>
      <c r="J60" s="91">
        <f t="shared" si="3"/>
        <v>186.19650000000001</v>
      </c>
      <c r="K60" s="91">
        <f t="shared" si="4"/>
        <v>170.905</v>
      </c>
    </row>
  </sheetData>
  <conditionalFormatting sqref="A25:A60 A2:A23">
    <cfRule type="duplicateValues" dxfId="5" priority="15"/>
  </conditionalFormatting>
  <pageMargins left="0.511811024" right="0.511811024" top="0.78740157499999996" bottom="0.78740157499999996" header="0.31496062000000002" footer="0.31496062000000002"/>
  <pageSetup paperSize="9" scale="89" fitToHeight="0" orientation="landscape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F181"/>
  <sheetViews>
    <sheetView zoomScale="89" zoomScaleNormal="89" workbookViewId="0">
      <selection activeCell="F50" sqref="F50"/>
    </sheetView>
  </sheetViews>
  <sheetFormatPr defaultRowHeight="15" x14ac:dyDescent="0.25"/>
  <cols>
    <col min="1" max="1" width="85.5703125" style="28" bestFit="1" customWidth="1"/>
    <col min="2" max="2" width="24" customWidth="1"/>
    <col min="3" max="3" width="40.5703125" customWidth="1"/>
    <col min="4" max="4" width="20.42578125" customWidth="1"/>
    <col min="5" max="5" width="12.85546875" bestFit="1" customWidth="1"/>
    <col min="6" max="6" width="17.28515625" bestFit="1" customWidth="1"/>
  </cols>
  <sheetData>
    <row r="1" spans="1:6" ht="15" customHeight="1" x14ac:dyDescent="0.25">
      <c r="A1" s="352"/>
      <c r="B1" s="3" t="s">
        <v>588</v>
      </c>
      <c r="C1" s="378" t="s">
        <v>589</v>
      </c>
      <c r="D1" s="46"/>
    </row>
    <row r="2" spans="1:6" ht="15" customHeight="1" x14ac:dyDescent="0.25">
      <c r="A2" s="352" t="s">
        <v>25</v>
      </c>
      <c r="B2" s="3" t="s">
        <v>195</v>
      </c>
      <c r="C2" s="378" t="s">
        <v>195</v>
      </c>
      <c r="D2" s="1" t="s">
        <v>12</v>
      </c>
    </row>
    <row r="3" spans="1:6" ht="15" customHeight="1" x14ac:dyDescent="0.25">
      <c r="A3" s="353" t="s">
        <v>421</v>
      </c>
      <c r="B3" s="383">
        <v>699</v>
      </c>
      <c r="C3" s="379">
        <f t="shared" ref="C3:C16" si="0">-B3*5%+B3</f>
        <v>664.05</v>
      </c>
      <c r="D3" s="7" t="s">
        <v>420</v>
      </c>
    </row>
    <row r="4" spans="1:6" ht="15" customHeight="1" x14ac:dyDescent="0.25">
      <c r="A4" s="353" t="s">
        <v>890</v>
      </c>
      <c r="B4" s="383">
        <v>1251</v>
      </c>
      <c r="C4" s="379">
        <f t="shared" si="0"/>
        <v>1188.45</v>
      </c>
      <c r="D4" s="7" t="s">
        <v>888</v>
      </c>
    </row>
    <row r="5" spans="1:6" ht="15" customHeight="1" x14ac:dyDescent="0.25">
      <c r="A5" s="353" t="s">
        <v>422</v>
      </c>
      <c r="B5" s="383">
        <v>479.61</v>
      </c>
      <c r="C5" s="379">
        <f t="shared" si="0"/>
        <v>455.62950000000001</v>
      </c>
      <c r="D5" s="7" t="s">
        <v>419</v>
      </c>
    </row>
    <row r="6" spans="1:6" ht="15" customHeight="1" x14ac:dyDescent="0.25">
      <c r="A6" s="353" t="s">
        <v>423</v>
      </c>
      <c r="B6" s="383">
        <v>299</v>
      </c>
      <c r="C6" s="379">
        <f t="shared" si="0"/>
        <v>284.05</v>
      </c>
      <c r="D6" s="7" t="s">
        <v>417</v>
      </c>
    </row>
    <row r="7" spans="1:6" ht="15" customHeight="1" x14ac:dyDescent="0.25">
      <c r="A7" s="353" t="s">
        <v>424</v>
      </c>
      <c r="B7" s="383">
        <v>166.28</v>
      </c>
      <c r="C7" s="379">
        <f t="shared" si="0"/>
        <v>157.96600000000001</v>
      </c>
      <c r="D7" s="7" t="s">
        <v>418</v>
      </c>
      <c r="E7" s="44"/>
      <c r="F7" s="45"/>
    </row>
    <row r="8" spans="1:6" ht="15" customHeight="1" x14ac:dyDescent="0.25">
      <c r="A8" s="353" t="s">
        <v>27</v>
      </c>
      <c r="B8" s="383">
        <v>448.11</v>
      </c>
      <c r="C8" s="379">
        <f t="shared" si="0"/>
        <v>425.7045</v>
      </c>
      <c r="D8" s="7" t="s">
        <v>26</v>
      </c>
      <c r="E8" s="44"/>
      <c r="F8" s="45"/>
    </row>
    <row r="9" spans="1:6" ht="15" customHeight="1" x14ac:dyDescent="0.25">
      <c r="A9" s="353" t="s">
        <v>263</v>
      </c>
      <c r="B9" s="383">
        <v>169.9</v>
      </c>
      <c r="C9" s="379">
        <f t="shared" si="0"/>
        <v>161.405</v>
      </c>
      <c r="D9" s="7" t="s">
        <v>28</v>
      </c>
      <c r="E9" s="44"/>
      <c r="F9" s="14"/>
    </row>
    <row r="10" spans="1:6" ht="15" customHeight="1" x14ac:dyDescent="0.25">
      <c r="A10" s="353" t="s">
        <v>264</v>
      </c>
      <c r="B10" s="383">
        <v>169.9</v>
      </c>
      <c r="C10" s="379">
        <f t="shared" si="0"/>
        <v>161.405</v>
      </c>
      <c r="D10" s="8" t="s">
        <v>29</v>
      </c>
      <c r="E10" s="44"/>
      <c r="F10" s="14"/>
    </row>
    <row r="11" spans="1:6" ht="15" customHeight="1" x14ac:dyDescent="0.25">
      <c r="A11" s="354" t="s">
        <v>996</v>
      </c>
      <c r="B11" s="389">
        <v>189.9</v>
      </c>
      <c r="C11" s="388">
        <f t="shared" si="0"/>
        <v>180.405</v>
      </c>
      <c r="D11" s="354" t="s">
        <v>997</v>
      </c>
      <c r="E11" s="44"/>
      <c r="F11" s="14"/>
    </row>
    <row r="12" spans="1:6" ht="15" customHeight="1" x14ac:dyDescent="0.25">
      <c r="A12" s="354" t="s">
        <v>1021</v>
      </c>
      <c r="B12" s="389">
        <v>940.5</v>
      </c>
      <c r="C12" s="380">
        <f t="shared" si="0"/>
        <v>893.47500000000002</v>
      </c>
      <c r="D12" s="296" t="s">
        <v>1250</v>
      </c>
      <c r="E12" s="44"/>
      <c r="F12" s="14"/>
    </row>
    <row r="13" spans="1:6" ht="15" customHeight="1" x14ac:dyDescent="0.25">
      <c r="A13" s="354" t="s">
        <v>1019</v>
      </c>
      <c r="B13" s="389">
        <v>369.55</v>
      </c>
      <c r="C13" s="380">
        <f t="shared" si="0"/>
        <v>351.07249999999999</v>
      </c>
      <c r="D13" s="297" t="s">
        <v>1018</v>
      </c>
      <c r="E13" s="44"/>
      <c r="F13" s="14"/>
    </row>
    <row r="14" spans="1:6" ht="15" customHeight="1" x14ac:dyDescent="0.25">
      <c r="A14" s="352" t="s">
        <v>1023</v>
      </c>
      <c r="B14" s="383" t="s">
        <v>854</v>
      </c>
      <c r="C14" s="378" t="s">
        <v>195</v>
      </c>
      <c r="D14" s="29" t="s">
        <v>12</v>
      </c>
      <c r="E14" s="44"/>
      <c r="F14" s="14"/>
    </row>
    <row r="15" spans="1:6" ht="15" customHeight="1" x14ac:dyDescent="0.25">
      <c r="A15" s="354" t="s">
        <v>1024</v>
      </c>
      <c r="B15" s="389">
        <v>589</v>
      </c>
      <c r="C15" s="380">
        <f t="shared" si="0"/>
        <v>559.54999999999995</v>
      </c>
      <c r="D15" s="295" t="s">
        <v>1026</v>
      </c>
      <c r="E15" s="44"/>
      <c r="F15" s="14"/>
    </row>
    <row r="16" spans="1:6" ht="15" customHeight="1" x14ac:dyDescent="0.25">
      <c r="A16" s="354" t="s">
        <v>1025</v>
      </c>
      <c r="B16" s="389">
        <v>589</v>
      </c>
      <c r="C16" s="380">
        <f t="shared" si="0"/>
        <v>559.54999999999995</v>
      </c>
      <c r="D16" s="295" t="s">
        <v>1027</v>
      </c>
      <c r="E16" s="44"/>
      <c r="F16" s="14"/>
    </row>
    <row r="17" spans="1:5" ht="15" customHeight="1" x14ac:dyDescent="0.25">
      <c r="A17" s="352" t="s">
        <v>484</v>
      </c>
      <c r="B17" s="383" t="s">
        <v>854</v>
      </c>
      <c r="C17" s="378" t="s">
        <v>195</v>
      </c>
      <c r="D17" s="29" t="s">
        <v>12</v>
      </c>
      <c r="E17" s="38"/>
    </row>
    <row r="18" spans="1:5" ht="15" customHeight="1" x14ac:dyDescent="0.25">
      <c r="A18" s="353" t="s">
        <v>481</v>
      </c>
      <c r="B18" s="383">
        <v>177</v>
      </c>
      <c r="C18" s="379">
        <f t="shared" ref="C18:C26" si="1">-B18*5%+B18</f>
        <v>168.15</v>
      </c>
      <c r="D18" s="8" t="s">
        <v>613</v>
      </c>
    </row>
    <row r="19" spans="1:5" ht="15" customHeight="1" x14ac:dyDescent="0.25">
      <c r="A19" s="353" t="s">
        <v>482</v>
      </c>
      <c r="B19" s="383">
        <v>177</v>
      </c>
      <c r="C19" s="379">
        <f t="shared" si="1"/>
        <v>168.15</v>
      </c>
      <c r="D19" s="8" t="s">
        <v>901</v>
      </c>
    </row>
    <row r="20" spans="1:5" ht="15" customHeight="1" x14ac:dyDescent="0.25">
      <c r="A20" s="353" t="s">
        <v>483</v>
      </c>
      <c r="B20" s="383">
        <v>99.9</v>
      </c>
      <c r="C20" s="379">
        <f t="shared" si="1"/>
        <v>94.905000000000001</v>
      </c>
      <c r="D20" s="37" t="s">
        <v>510</v>
      </c>
    </row>
    <row r="21" spans="1:5" ht="15" customHeight="1" x14ac:dyDescent="0.25">
      <c r="A21" s="353" t="s">
        <v>486</v>
      </c>
      <c r="B21" s="383">
        <v>149.9</v>
      </c>
      <c r="C21" s="379">
        <f t="shared" si="1"/>
        <v>142.405</v>
      </c>
      <c r="D21" s="8" t="s">
        <v>476</v>
      </c>
    </row>
    <row r="22" spans="1:5" ht="15" customHeight="1" x14ac:dyDescent="0.25">
      <c r="A22" s="353" t="s">
        <v>487</v>
      </c>
      <c r="B22" s="383">
        <v>192.9</v>
      </c>
      <c r="C22" s="379">
        <f t="shared" si="1"/>
        <v>183.255</v>
      </c>
      <c r="D22" s="37" t="s">
        <v>502</v>
      </c>
    </row>
    <row r="23" spans="1:5" ht="15" customHeight="1" x14ac:dyDescent="0.25">
      <c r="A23" s="353" t="s">
        <v>529</v>
      </c>
      <c r="B23" s="383">
        <v>99.9</v>
      </c>
      <c r="C23" s="379">
        <f t="shared" si="1"/>
        <v>94.905000000000001</v>
      </c>
      <c r="D23" s="37" t="s">
        <v>531</v>
      </c>
    </row>
    <row r="24" spans="1:5" ht="15" customHeight="1" x14ac:dyDescent="0.25">
      <c r="A24" s="353" t="s">
        <v>530</v>
      </c>
      <c r="B24" s="383">
        <v>99.9</v>
      </c>
      <c r="C24" s="379">
        <f>-B24*5%+B24</f>
        <v>94.905000000000001</v>
      </c>
      <c r="D24" s="37" t="s">
        <v>532</v>
      </c>
    </row>
    <row r="25" spans="1:5" ht="15" customHeight="1" x14ac:dyDescent="0.25">
      <c r="A25" s="353" t="s">
        <v>523</v>
      </c>
      <c r="B25" s="383">
        <v>149.9</v>
      </c>
      <c r="C25" s="379">
        <f t="shared" si="1"/>
        <v>142.405</v>
      </c>
      <c r="D25" s="37" t="s">
        <v>524</v>
      </c>
    </row>
    <row r="26" spans="1:5" ht="15" customHeight="1" x14ac:dyDescent="0.25">
      <c r="A26" s="353" t="s">
        <v>488</v>
      </c>
      <c r="B26" s="383">
        <v>99.9</v>
      </c>
      <c r="C26" s="379">
        <f t="shared" si="1"/>
        <v>94.905000000000001</v>
      </c>
      <c r="D26" s="37" t="s">
        <v>501</v>
      </c>
    </row>
    <row r="27" spans="1:5" ht="15" customHeight="1" x14ac:dyDescent="0.25">
      <c r="A27" s="352" t="s">
        <v>485</v>
      </c>
      <c r="B27" s="383" t="s">
        <v>854</v>
      </c>
      <c r="C27" s="378" t="s">
        <v>195</v>
      </c>
      <c r="D27" s="29" t="s">
        <v>12</v>
      </c>
      <c r="E27" s="38"/>
    </row>
    <row r="28" spans="1:5" ht="15" customHeight="1" x14ac:dyDescent="0.25">
      <c r="A28" s="355" t="s">
        <v>490</v>
      </c>
      <c r="B28" s="383">
        <v>87.9</v>
      </c>
      <c r="C28" s="379">
        <f t="shared" ref="C28:C35" si="2">-B28*5%+B28</f>
        <v>83.50500000000001</v>
      </c>
      <c r="D28" s="8" t="s">
        <v>525</v>
      </c>
    </row>
    <row r="29" spans="1:5" ht="15" customHeight="1" x14ac:dyDescent="0.25">
      <c r="A29" s="355" t="s">
        <v>491</v>
      </c>
      <c r="B29" s="383">
        <v>87.9</v>
      </c>
      <c r="C29" s="379">
        <f t="shared" si="2"/>
        <v>83.50500000000001</v>
      </c>
      <c r="D29" s="8" t="s">
        <v>527</v>
      </c>
    </row>
    <row r="30" spans="1:5" ht="15" customHeight="1" x14ac:dyDescent="0.25">
      <c r="A30" s="355" t="s">
        <v>492</v>
      </c>
      <c r="B30" s="383">
        <v>125</v>
      </c>
      <c r="C30" s="379">
        <f t="shared" si="2"/>
        <v>118.75</v>
      </c>
      <c r="D30" s="8" t="s">
        <v>30</v>
      </c>
    </row>
    <row r="31" spans="1:5" ht="15" customHeight="1" x14ac:dyDescent="0.25">
      <c r="A31" s="355" t="s">
        <v>493</v>
      </c>
      <c r="B31" s="383">
        <v>172</v>
      </c>
      <c r="C31" s="379">
        <f t="shared" si="2"/>
        <v>163.4</v>
      </c>
      <c r="D31" s="8" t="s">
        <v>32</v>
      </c>
    </row>
    <row r="32" spans="1:5" ht="15" customHeight="1" x14ac:dyDescent="0.25">
      <c r="A32" s="355" t="s">
        <v>494</v>
      </c>
      <c r="B32" s="383">
        <v>159</v>
      </c>
      <c r="C32" s="379">
        <f t="shared" si="2"/>
        <v>151.05000000000001</v>
      </c>
      <c r="D32" s="8" t="s">
        <v>255</v>
      </c>
    </row>
    <row r="33" spans="1:4" ht="15" customHeight="1" x14ac:dyDescent="0.25">
      <c r="A33" s="355" t="s">
        <v>495</v>
      </c>
      <c r="B33" s="383">
        <v>160.29999999999998</v>
      </c>
      <c r="C33" s="379">
        <f t="shared" si="2"/>
        <v>152.285</v>
      </c>
      <c r="D33" s="8" t="s">
        <v>34</v>
      </c>
    </row>
    <row r="34" spans="1:4" ht="15" customHeight="1" x14ac:dyDescent="0.25">
      <c r="A34" s="356" t="s">
        <v>496</v>
      </c>
      <c r="B34" s="383">
        <v>122</v>
      </c>
      <c r="C34" s="379">
        <f t="shared" si="2"/>
        <v>115.9</v>
      </c>
      <c r="D34" s="8" t="s">
        <v>528</v>
      </c>
    </row>
    <row r="35" spans="1:4" ht="15" customHeight="1" x14ac:dyDescent="0.25">
      <c r="A35" s="356" t="s">
        <v>497</v>
      </c>
      <c r="B35" s="383">
        <v>167</v>
      </c>
      <c r="C35" s="379">
        <f t="shared" si="2"/>
        <v>158.65</v>
      </c>
      <c r="D35" s="8" t="s">
        <v>614</v>
      </c>
    </row>
    <row r="36" spans="1:4" ht="15" customHeight="1" x14ac:dyDescent="0.25">
      <c r="A36" s="352" t="s">
        <v>498</v>
      </c>
      <c r="B36" s="383" t="s">
        <v>854</v>
      </c>
      <c r="C36" s="378" t="s">
        <v>195</v>
      </c>
      <c r="D36" s="29" t="s">
        <v>12</v>
      </c>
    </row>
    <row r="37" spans="1:4" ht="15" customHeight="1" x14ac:dyDescent="0.25">
      <c r="A37" s="357" t="s">
        <v>473</v>
      </c>
      <c r="B37" s="383">
        <v>66.900000000000006</v>
      </c>
      <c r="C37" s="379">
        <f t="shared" ref="C37:C42" si="3">-B37*5%+B37</f>
        <v>63.555000000000007</v>
      </c>
      <c r="D37" s="4" t="s">
        <v>472</v>
      </c>
    </row>
    <row r="38" spans="1:4" ht="15" customHeight="1" x14ac:dyDescent="0.25">
      <c r="A38" s="357" t="s">
        <v>261</v>
      </c>
      <c r="B38" s="383">
        <v>79.900000000000006</v>
      </c>
      <c r="C38" s="379">
        <f t="shared" si="3"/>
        <v>75.905000000000001</v>
      </c>
      <c r="D38" s="6" t="s">
        <v>36</v>
      </c>
    </row>
    <row r="39" spans="1:4" ht="15" customHeight="1" x14ac:dyDescent="0.25">
      <c r="A39" s="357" t="s">
        <v>262</v>
      </c>
      <c r="B39" s="383">
        <v>72.900000000000006</v>
      </c>
      <c r="C39" s="379">
        <f t="shared" si="3"/>
        <v>69.25500000000001</v>
      </c>
      <c r="D39" s="6" t="s">
        <v>38</v>
      </c>
    </row>
    <row r="40" spans="1:4" ht="15" customHeight="1" x14ac:dyDescent="0.25">
      <c r="A40" s="355" t="s">
        <v>259</v>
      </c>
      <c r="B40" s="383">
        <v>29.9</v>
      </c>
      <c r="C40" s="379">
        <f t="shared" si="3"/>
        <v>28.404999999999998</v>
      </c>
      <c r="D40" s="6" t="s">
        <v>257</v>
      </c>
    </row>
    <row r="41" spans="1:4" ht="15" customHeight="1" x14ac:dyDescent="0.25">
      <c r="A41" s="355" t="s">
        <v>44</v>
      </c>
      <c r="B41" s="383">
        <v>29.9</v>
      </c>
      <c r="C41" s="379">
        <f t="shared" si="3"/>
        <v>28.404999999999998</v>
      </c>
      <c r="D41" s="8" t="s">
        <v>42</v>
      </c>
    </row>
    <row r="42" spans="1:4" ht="15" customHeight="1" x14ac:dyDescent="0.25">
      <c r="A42" s="266" t="s">
        <v>1010</v>
      </c>
      <c r="B42" s="389">
        <v>29.9</v>
      </c>
      <c r="C42" s="380">
        <f t="shared" si="3"/>
        <v>28.404999999999998</v>
      </c>
      <c r="D42" s="390" t="s">
        <v>998</v>
      </c>
    </row>
    <row r="43" spans="1:4" ht="15" customHeight="1" x14ac:dyDescent="0.25">
      <c r="A43" s="29" t="s">
        <v>288</v>
      </c>
      <c r="B43" s="29" t="s">
        <v>854</v>
      </c>
      <c r="C43" s="29" t="s">
        <v>195</v>
      </c>
      <c r="D43" s="29" t="s">
        <v>12</v>
      </c>
    </row>
    <row r="44" spans="1:4" ht="15" customHeight="1" x14ac:dyDescent="0.25">
      <c r="A44" s="358" t="s">
        <v>427</v>
      </c>
      <c r="B44" s="383">
        <v>169.31</v>
      </c>
      <c r="C44" s="379">
        <f t="shared" ref="C44:C52" si="4">-B44*5%+B44</f>
        <v>160.84450000000001</v>
      </c>
      <c r="D44" s="33" t="s">
        <v>425</v>
      </c>
    </row>
    <row r="45" spans="1:4" ht="15" customHeight="1" x14ac:dyDescent="0.25">
      <c r="A45" s="359" t="s">
        <v>402</v>
      </c>
      <c r="B45" s="383">
        <v>147</v>
      </c>
      <c r="C45" s="379">
        <f t="shared" si="4"/>
        <v>139.65</v>
      </c>
      <c r="D45" s="33" t="s">
        <v>289</v>
      </c>
    </row>
    <row r="46" spans="1:4" ht="15" customHeight="1" x14ac:dyDescent="0.25">
      <c r="A46" s="358" t="s">
        <v>428</v>
      </c>
      <c r="B46" s="383">
        <v>164.7</v>
      </c>
      <c r="C46" s="379">
        <f t="shared" si="4"/>
        <v>156.46499999999997</v>
      </c>
      <c r="D46" s="33" t="s">
        <v>433</v>
      </c>
    </row>
    <row r="47" spans="1:4" ht="15" customHeight="1" x14ac:dyDescent="0.25">
      <c r="A47" s="360" t="s">
        <v>403</v>
      </c>
      <c r="B47" s="383">
        <v>147</v>
      </c>
      <c r="C47" s="379">
        <f t="shared" si="4"/>
        <v>139.65</v>
      </c>
      <c r="D47" s="33" t="s">
        <v>290</v>
      </c>
    </row>
    <row r="48" spans="1:4" ht="15" customHeight="1" x14ac:dyDescent="0.25">
      <c r="A48" s="360" t="s">
        <v>404</v>
      </c>
      <c r="B48" s="383">
        <v>159.9</v>
      </c>
      <c r="C48" s="379">
        <f t="shared" si="4"/>
        <v>151.905</v>
      </c>
      <c r="D48" s="33" t="s">
        <v>291</v>
      </c>
    </row>
    <row r="49" spans="1:4" ht="15" customHeight="1" x14ac:dyDescent="0.25">
      <c r="A49" s="358" t="s">
        <v>429</v>
      </c>
      <c r="B49" s="383">
        <v>166.24</v>
      </c>
      <c r="C49" s="379">
        <f t="shared" si="4"/>
        <v>157.928</v>
      </c>
      <c r="D49" s="33" t="s">
        <v>434</v>
      </c>
    </row>
    <row r="50" spans="1:4" ht="15" customHeight="1" x14ac:dyDescent="0.25">
      <c r="A50" s="361" t="s">
        <v>430</v>
      </c>
      <c r="B50" s="383">
        <v>232</v>
      </c>
      <c r="C50" s="379">
        <f t="shared" si="4"/>
        <v>220.4</v>
      </c>
      <c r="D50" s="33" t="s">
        <v>293</v>
      </c>
    </row>
    <row r="51" spans="1:4" ht="15" customHeight="1" x14ac:dyDescent="0.25">
      <c r="A51" s="358" t="s">
        <v>431</v>
      </c>
      <c r="B51" s="383">
        <v>211.88</v>
      </c>
      <c r="C51" s="379">
        <f t="shared" si="4"/>
        <v>201.286</v>
      </c>
      <c r="D51" s="33" t="s">
        <v>435</v>
      </c>
    </row>
    <row r="52" spans="1:4" ht="15" customHeight="1" x14ac:dyDescent="0.25">
      <c r="A52" s="361" t="s">
        <v>432</v>
      </c>
      <c r="B52" s="383">
        <v>179</v>
      </c>
      <c r="C52" s="379">
        <f t="shared" si="4"/>
        <v>170.05</v>
      </c>
      <c r="D52" s="33" t="s">
        <v>294</v>
      </c>
    </row>
    <row r="53" spans="1:4" ht="15" customHeight="1" x14ac:dyDescent="0.25">
      <c r="A53" s="29" t="s">
        <v>287</v>
      </c>
      <c r="B53" s="29" t="s">
        <v>854</v>
      </c>
      <c r="C53" s="29" t="s">
        <v>195</v>
      </c>
      <c r="D53" s="29" t="s">
        <v>12</v>
      </c>
    </row>
    <row r="54" spans="1:4" ht="15" customHeight="1" x14ac:dyDescent="0.25">
      <c r="A54" s="360" t="s">
        <v>447</v>
      </c>
      <c r="B54" s="383">
        <v>117.04</v>
      </c>
      <c r="C54" s="379">
        <f t="shared" ref="C54:C60" si="5">-B54*5%+B54</f>
        <v>111.188</v>
      </c>
      <c r="D54" s="33" t="s">
        <v>300</v>
      </c>
    </row>
    <row r="55" spans="1:4" ht="15" customHeight="1" x14ac:dyDescent="0.25">
      <c r="A55" s="360" t="s">
        <v>448</v>
      </c>
      <c r="B55" s="383">
        <v>117.04</v>
      </c>
      <c r="C55" s="379">
        <f t="shared" si="5"/>
        <v>111.188</v>
      </c>
      <c r="D55" s="33" t="s">
        <v>301</v>
      </c>
    </row>
    <row r="56" spans="1:4" ht="15" customHeight="1" x14ac:dyDescent="0.25">
      <c r="A56" s="360" t="s">
        <v>449</v>
      </c>
      <c r="B56" s="383">
        <v>131.12</v>
      </c>
      <c r="C56" s="379">
        <f t="shared" si="5"/>
        <v>124.56400000000001</v>
      </c>
      <c r="D56" s="33" t="s">
        <v>302</v>
      </c>
    </row>
    <row r="57" spans="1:4" ht="15" customHeight="1" x14ac:dyDescent="0.25">
      <c r="A57" s="360" t="s">
        <v>450</v>
      </c>
      <c r="B57" s="383">
        <v>79</v>
      </c>
      <c r="C57" s="379">
        <f t="shared" si="5"/>
        <v>75.05</v>
      </c>
      <c r="D57" s="33" t="s">
        <v>442</v>
      </c>
    </row>
    <row r="58" spans="1:4" ht="15" customHeight="1" x14ac:dyDescent="0.25">
      <c r="A58" s="360" t="s">
        <v>451</v>
      </c>
      <c r="B58" s="383">
        <v>189.2</v>
      </c>
      <c r="C58" s="379">
        <f t="shared" si="5"/>
        <v>179.73999999999998</v>
      </c>
      <c r="D58" s="33" t="s">
        <v>304</v>
      </c>
    </row>
    <row r="59" spans="1:4" ht="15" customHeight="1" x14ac:dyDescent="0.25">
      <c r="A59" s="360" t="s">
        <v>452</v>
      </c>
      <c r="B59" s="383">
        <v>150.47999999999999</v>
      </c>
      <c r="C59" s="379">
        <f t="shared" si="5"/>
        <v>142.95599999999999</v>
      </c>
      <c r="D59" s="33" t="s">
        <v>443</v>
      </c>
    </row>
    <row r="60" spans="1:4" ht="15" customHeight="1" x14ac:dyDescent="0.25">
      <c r="A60" s="360" t="s">
        <v>453</v>
      </c>
      <c r="B60" s="383">
        <v>144.32</v>
      </c>
      <c r="C60" s="379">
        <f t="shared" si="5"/>
        <v>137.10399999999998</v>
      </c>
      <c r="D60" s="33" t="s">
        <v>305</v>
      </c>
    </row>
    <row r="61" spans="1:4" ht="15" customHeight="1" x14ac:dyDescent="0.25">
      <c r="A61" s="352" t="s">
        <v>45</v>
      </c>
      <c r="B61" s="383" t="s">
        <v>854</v>
      </c>
      <c r="C61" s="378" t="s">
        <v>195</v>
      </c>
      <c r="D61" s="29" t="s">
        <v>12</v>
      </c>
    </row>
    <row r="62" spans="1:4" ht="15" customHeight="1" x14ac:dyDescent="0.25">
      <c r="A62" s="357" t="s">
        <v>48</v>
      </c>
      <c r="B62" s="383">
        <v>186.11</v>
      </c>
      <c r="C62" s="379">
        <f>-B62*5%+B62</f>
        <v>176.80450000000002</v>
      </c>
      <c r="D62" s="6" t="s">
        <v>46</v>
      </c>
    </row>
    <row r="63" spans="1:4" ht="15" customHeight="1" x14ac:dyDescent="0.25">
      <c r="A63" s="357" t="s">
        <v>471</v>
      </c>
      <c r="B63" s="383">
        <v>187.72</v>
      </c>
      <c r="C63" s="379">
        <f>-B63*5%+B63</f>
        <v>178.334</v>
      </c>
      <c r="D63" s="4" t="s">
        <v>280</v>
      </c>
    </row>
    <row r="64" spans="1:4" ht="15" customHeight="1" x14ac:dyDescent="0.25">
      <c r="A64" s="352" t="s">
        <v>49</v>
      </c>
      <c r="B64" s="383" t="s">
        <v>854</v>
      </c>
      <c r="C64" s="378" t="s">
        <v>195</v>
      </c>
      <c r="D64" s="29" t="s">
        <v>12</v>
      </c>
    </row>
    <row r="65" spans="1:4" ht="15" customHeight="1" x14ac:dyDescent="0.25">
      <c r="A65" s="362" t="s">
        <v>216</v>
      </c>
      <c r="B65" s="383">
        <v>38.9</v>
      </c>
      <c r="C65" s="379">
        <f>-B65*5%+B65</f>
        <v>36.954999999999998</v>
      </c>
      <c r="D65" s="10" t="s">
        <v>51</v>
      </c>
    </row>
    <row r="66" spans="1:4" ht="15" customHeight="1" x14ac:dyDescent="0.25">
      <c r="A66" s="362" t="s">
        <v>217</v>
      </c>
      <c r="B66" s="383">
        <v>42.58</v>
      </c>
      <c r="C66" s="379">
        <f>-B66*5%+B66</f>
        <v>40.451000000000001</v>
      </c>
      <c r="D66" s="10" t="s">
        <v>53</v>
      </c>
    </row>
    <row r="67" spans="1:4" ht="15" customHeight="1" x14ac:dyDescent="0.25">
      <c r="A67" s="362" t="s">
        <v>265</v>
      </c>
      <c r="B67" s="383">
        <v>42.58</v>
      </c>
      <c r="C67" s="379">
        <f>-B67*5%+B67</f>
        <v>40.451000000000001</v>
      </c>
      <c r="D67" s="10" t="s">
        <v>55</v>
      </c>
    </row>
    <row r="68" spans="1:4" ht="15" customHeight="1" x14ac:dyDescent="0.25">
      <c r="A68" s="362" t="s">
        <v>59</v>
      </c>
      <c r="B68" s="383">
        <v>37.9</v>
      </c>
      <c r="C68" s="379">
        <f>-B68*5%+B68</f>
        <v>36.004999999999995</v>
      </c>
      <c r="D68" s="10" t="s">
        <v>57</v>
      </c>
    </row>
    <row r="69" spans="1:4" ht="15" customHeight="1" x14ac:dyDescent="0.25">
      <c r="A69" s="363" t="s">
        <v>1022</v>
      </c>
      <c r="B69" s="383">
        <v>18</v>
      </c>
      <c r="C69" s="380">
        <f>-B69*5%+B69</f>
        <v>17.100000000000001</v>
      </c>
      <c r="D69" s="265" t="s">
        <v>1251</v>
      </c>
    </row>
    <row r="70" spans="1:4" ht="15" customHeight="1" x14ac:dyDescent="0.25">
      <c r="A70" s="352" t="s">
        <v>60</v>
      </c>
      <c r="B70" s="383" t="s">
        <v>854</v>
      </c>
      <c r="C70" s="378" t="s">
        <v>195</v>
      </c>
      <c r="D70" s="29" t="s">
        <v>12</v>
      </c>
    </row>
    <row r="71" spans="1:4" ht="15" customHeight="1" x14ac:dyDescent="0.25">
      <c r="A71" s="355" t="s">
        <v>63</v>
      </c>
      <c r="B71" s="383">
        <v>53.9</v>
      </c>
      <c r="C71" s="379">
        <f t="shared" ref="C71:C83" si="6">-B71*5%+B71</f>
        <v>51.204999999999998</v>
      </c>
      <c r="D71" s="8" t="s">
        <v>61</v>
      </c>
    </row>
    <row r="72" spans="1:4" ht="15" customHeight="1" x14ac:dyDescent="0.25">
      <c r="A72" s="355" t="s">
        <v>66</v>
      </c>
      <c r="B72" s="383">
        <v>47.9</v>
      </c>
      <c r="C72" s="379">
        <f t="shared" si="6"/>
        <v>45.504999999999995</v>
      </c>
      <c r="D72" s="8" t="s">
        <v>64</v>
      </c>
    </row>
    <row r="73" spans="1:4" ht="15" customHeight="1" x14ac:dyDescent="0.25">
      <c r="A73" s="355" t="s">
        <v>69</v>
      </c>
      <c r="B73" s="383">
        <v>47.9</v>
      </c>
      <c r="C73" s="379">
        <f t="shared" si="6"/>
        <v>45.504999999999995</v>
      </c>
      <c r="D73" s="8" t="s">
        <v>67</v>
      </c>
    </row>
    <row r="74" spans="1:4" ht="15" customHeight="1" x14ac:dyDescent="0.25">
      <c r="A74" s="355" t="s">
        <v>72</v>
      </c>
      <c r="B74" s="383">
        <v>29.9</v>
      </c>
      <c r="C74" s="379">
        <f t="shared" si="6"/>
        <v>28.404999999999998</v>
      </c>
      <c r="D74" s="8" t="s">
        <v>70</v>
      </c>
    </row>
    <row r="75" spans="1:4" ht="15" customHeight="1" x14ac:dyDescent="0.25">
      <c r="A75" s="364" t="s">
        <v>266</v>
      </c>
      <c r="B75" s="383">
        <v>38.479999999999997</v>
      </c>
      <c r="C75" s="379">
        <f t="shared" si="6"/>
        <v>36.555999999999997</v>
      </c>
      <c r="D75" s="10" t="s">
        <v>563</v>
      </c>
    </row>
    <row r="76" spans="1:4" ht="15" customHeight="1" x14ac:dyDescent="0.25">
      <c r="A76" s="364" t="s">
        <v>73</v>
      </c>
      <c r="B76" s="383">
        <v>30.9</v>
      </c>
      <c r="C76" s="379">
        <f t="shared" si="6"/>
        <v>29.354999999999997</v>
      </c>
      <c r="D76" s="10" t="s">
        <v>564</v>
      </c>
    </row>
    <row r="77" spans="1:4" ht="15" customHeight="1" x14ac:dyDescent="0.25">
      <c r="A77" s="364" t="s">
        <v>75</v>
      </c>
      <c r="B77" s="383">
        <v>40.9</v>
      </c>
      <c r="C77" s="379">
        <f t="shared" si="6"/>
        <v>38.854999999999997</v>
      </c>
      <c r="D77" s="5" t="s">
        <v>562</v>
      </c>
    </row>
    <row r="78" spans="1:4" ht="15" customHeight="1" x14ac:dyDescent="0.25">
      <c r="A78" s="362" t="s">
        <v>78</v>
      </c>
      <c r="B78" s="383">
        <v>37.299999999999997</v>
      </c>
      <c r="C78" s="379">
        <f t="shared" si="6"/>
        <v>35.434999999999995</v>
      </c>
      <c r="D78" s="5" t="s">
        <v>76</v>
      </c>
    </row>
    <row r="79" spans="1:4" ht="15" customHeight="1" x14ac:dyDescent="0.25">
      <c r="A79" s="362" t="s">
        <v>81</v>
      </c>
      <c r="B79" s="383">
        <v>43.9</v>
      </c>
      <c r="C79" s="379">
        <f t="shared" si="6"/>
        <v>41.704999999999998</v>
      </c>
      <c r="D79" s="5" t="s">
        <v>881</v>
      </c>
    </row>
    <row r="80" spans="1:4" ht="15" customHeight="1" x14ac:dyDescent="0.25">
      <c r="A80" s="362" t="s">
        <v>223</v>
      </c>
      <c r="B80" s="383">
        <v>39.9</v>
      </c>
      <c r="C80" s="379">
        <f t="shared" si="6"/>
        <v>37.905000000000001</v>
      </c>
      <c r="D80" s="5" t="s">
        <v>561</v>
      </c>
    </row>
    <row r="81" spans="1:4" ht="15" customHeight="1" x14ac:dyDescent="0.25">
      <c r="A81" s="364" t="s">
        <v>224</v>
      </c>
      <c r="B81" s="383">
        <v>34.9</v>
      </c>
      <c r="C81" s="379">
        <f t="shared" si="6"/>
        <v>33.155000000000001</v>
      </c>
      <c r="D81" s="5" t="s">
        <v>560</v>
      </c>
    </row>
    <row r="82" spans="1:4" ht="15" customHeight="1" x14ac:dyDescent="0.25">
      <c r="A82" s="362" t="s">
        <v>225</v>
      </c>
      <c r="B82" s="383">
        <v>45.9</v>
      </c>
      <c r="C82" s="379">
        <f t="shared" si="6"/>
        <v>43.604999999999997</v>
      </c>
      <c r="D82" s="10" t="s">
        <v>83</v>
      </c>
    </row>
    <row r="83" spans="1:4" ht="15" customHeight="1" x14ac:dyDescent="0.25">
      <c r="A83" s="362" t="s">
        <v>871</v>
      </c>
      <c r="B83" s="383">
        <v>33.86</v>
      </c>
      <c r="C83" s="379">
        <f t="shared" si="6"/>
        <v>32.167000000000002</v>
      </c>
      <c r="D83" s="10" t="s">
        <v>850</v>
      </c>
    </row>
    <row r="84" spans="1:4" ht="15" customHeight="1" x14ac:dyDescent="0.25">
      <c r="A84" s="352" t="s">
        <v>85</v>
      </c>
      <c r="B84" s="383" t="s">
        <v>854</v>
      </c>
      <c r="C84" s="378" t="s">
        <v>195</v>
      </c>
      <c r="D84" s="29" t="s">
        <v>12</v>
      </c>
    </row>
    <row r="85" spans="1:4" ht="15" customHeight="1" x14ac:dyDescent="0.25">
      <c r="A85" s="362" t="s">
        <v>267</v>
      </c>
      <c r="B85" s="383">
        <v>54.48</v>
      </c>
      <c r="C85" s="379">
        <f t="shared" ref="C85:C93" si="7">-B85*5%+B85</f>
        <v>51.756</v>
      </c>
      <c r="D85" s="5" t="s">
        <v>86</v>
      </c>
    </row>
    <row r="86" spans="1:4" ht="15" customHeight="1" x14ac:dyDescent="0.25">
      <c r="A86" s="362" t="s">
        <v>90</v>
      </c>
      <c r="B86" s="383">
        <v>47.476000000000006</v>
      </c>
      <c r="C86" s="379">
        <f t="shared" si="7"/>
        <v>45.102200000000003</v>
      </c>
      <c r="D86" s="5" t="s">
        <v>88</v>
      </c>
    </row>
    <row r="87" spans="1:4" ht="15" customHeight="1" x14ac:dyDescent="0.25">
      <c r="A87" s="362" t="s">
        <v>227</v>
      </c>
      <c r="B87" s="383">
        <v>42.9</v>
      </c>
      <c r="C87" s="379">
        <f t="shared" si="7"/>
        <v>40.754999999999995</v>
      </c>
      <c r="D87" s="5" t="s">
        <v>91</v>
      </c>
    </row>
    <row r="88" spans="1:4" ht="15" customHeight="1" x14ac:dyDescent="0.25">
      <c r="A88" s="362" t="s">
        <v>268</v>
      </c>
      <c r="B88" s="383">
        <v>33.9</v>
      </c>
      <c r="C88" s="379">
        <f t="shared" si="7"/>
        <v>32.204999999999998</v>
      </c>
      <c r="D88" s="10" t="s">
        <v>1262</v>
      </c>
    </row>
    <row r="89" spans="1:4" ht="15" customHeight="1" x14ac:dyDescent="0.25">
      <c r="A89" s="362" t="s">
        <v>872</v>
      </c>
      <c r="B89" s="383">
        <v>37.9</v>
      </c>
      <c r="C89" s="379">
        <f t="shared" si="7"/>
        <v>36.004999999999995</v>
      </c>
      <c r="D89" s="10" t="s">
        <v>842</v>
      </c>
    </row>
    <row r="90" spans="1:4" ht="15" customHeight="1" x14ac:dyDescent="0.25">
      <c r="A90" s="362" t="s">
        <v>97</v>
      </c>
      <c r="B90" s="383">
        <v>9.9</v>
      </c>
      <c r="C90" s="379">
        <f t="shared" si="7"/>
        <v>9.4050000000000011</v>
      </c>
      <c r="D90" s="10" t="s">
        <v>95</v>
      </c>
    </row>
    <row r="91" spans="1:4" ht="15" customHeight="1" x14ac:dyDescent="0.25">
      <c r="A91" s="362" t="s">
        <v>250</v>
      </c>
      <c r="B91" s="383">
        <v>14.9</v>
      </c>
      <c r="C91" s="379">
        <f t="shared" si="7"/>
        <v>14.155000000000001</v>
      </c>
      <c r="D91" s="10" t="s">
        <v>543</v>
      </c>
    </row>
    <row r="92" spans="1:4" ht="15" customHeight="1" x14ac:dyDescent="0.25">
      <c r="A92" s="364" t="s">
        <v>549</v>
      </c>
      <c r="B92" s="383">
        <v>9.9</v>
      </c>
      <c r="C92" s="379">
        <f t="shared" si="7"/>
        <v>9.4050000000000011</v>
      </c>
      <c r="D92" s="10" t="s">
        <v>548</v>
      </c>
    </row>
    <row r="93" spans="1:4" ht="15" customHeight="1" x14ac:dyDescent="0.25">
      <c r="A93" s="362" t="s">
        <v>98</v>
      </c>
      <c r="B93" s="383">
        <v>9.9</v>
      </c>
      <c r="C93" s="379">
        <f t="shared" si="7"/>
        <v>9.4050000000000011</v>
      </c>
      <c r="D93" s="10" t="s">
        <v>548</v>
      </c>
    </row>
    <row r="94" spans="1:4" ht="15" customHeight="1" x14ac:dyDescent="0.3">
      <c r="A94" s="365" t="s">
        <v>100</v>
      </c>
      <c r="B94" s="383" t="s">
        <v>854</v>
      </c>
      <c r="C94" s="378" t="s">
        <v>195</v>
      </c>
      <c r="D94" s="30" t="s">
        <v>99</v>
      </c>
    </row>
    <row r="95" spans="1:4" ht="15" customHeight="1" x14ac:dyDescent="0.25">
      <c r="A95" s="362" t="s">
        <v>103</v>
      </c>
      <c r="B95" s="383">
        <v>29.9</v>
      </c>
      <c r="C95" s="379">
        <f>-B95*5%+B95</f>
        <v>28.404999999999998</v>
      </c>
      <c r="D95" s="10" t="s">
        <v>101</v>
      </c>
    </row>
    <row r="96" spans="1:4" ht="15" customHeight="1" x14ac:dyDescent="0.25">
      <c r="A96" s="362" t="s">
        <v>106</v>
      </c>
      <c r="B96" s="383">
        <v>53.9</v>
      </c>
      <c r="C96" s="379">
        <f>-B96*5%+B96</f>
        <v>51.204999999999998</v>
      </c>
      <c r="D96" s="10" t="s">
        <v>104</v>
      </c>
    </row>
    <row r="97" spans="1:4" ht="15" customHeight="1" x14ac:dyDescent="0.25">
      <c r="A97" s="362" t="s">
        <v>109</v>
      </c>
      <c r="B97" s="383">
        <v>29.9</v>
      </c>
      <c r="C97" s="379">
        <f>-B97*5%+B97</f>
        <v>28.404999999999998</v>
      </c>
      <c r="D97" s="10" t="s">
        <v>107</v>
      </c>
    </row>
    <row r="98" spans="1:4" ht="15" customHeight="1" x14ac:dyDescent="0.25">
      <c r="A98" s="362" t="s">
        <v>112</v>
      </c>
      <c r="B98" s="383">
        <v>36.9</v>
      </c>
      <c r="C98" s="379">
        <f>-B98*5%+B98</f>
        <v>35.055</v>
      </c>
      <c r="D98" s="10" t="s">
        <v>110</v>
      </c>
    </row>
    <row r="99" spans="1:4" ht="15" customHeight="1" x14ac:dyDescent="0.25">
      <c r="A99" s="362" t="s">
        <v>886</v>
      </c>
      <c r="B99" s="383">
        <v>69.900000000000006</v>
      </c>
      <c r="C99" s="379">
        <f>-B99*5%+B99</f>
        <v>66.405000000000001</v>
      </c>
      <c r="D99" s="10" t="s">
        <v>844</v>
      </c>
    </row>
    <row r="100" spans="1:4" ht="15" customHeight="1" x14ac:dyDescent="0.25">
      <c r="A100" s="352" t="s">
        <v>555</v>
      </c>
      <c r="B100" s="383" t="s">
        <v>854</v>
      </c>
      <c r="C100" s="378" t="s">
        <v>195</v>
      </c>
      <c r="D100" s="29" t="s">
        <v>12</v>
      </c>
    </row>
    <row r="101" spans="1:4" ht="15" customHeight="1" x14ac:dyDescent="0.25">
      <c r="A101" s="362" t="s">
        <v>116</v>
      </c>
      <c r="B101" s="383">
        <v>32.9</v>
      </c>
      <c r="C101" s="379">
        <f t="shared" ref="C101:C110" si="8">-B101*5%+B101</f>
        <v>31.254999999999999</v>
      </c>
      <c r="D101" s="10" t="s">
        <v>1252</v>
      </c>
    </row>
    <row r="102" spans="1:4" ht="15" customHeight="1" x14ac:dyDescent="0.25">
      <c r="A102" s="362" t="s">
        <v>117</v>
      </c>
      <c r="B102" s="383">
        <v>39.9</v>
      </c>
      <c r="C102" s="379">
        <f t="shared" si="8"/>
        <v>37.905000000000001</v>
      </c>
      <c r="D102" s="10" t="s">
        <v>544</v>
      </c>
    </row>
    <row r="103" spans="1:4" ht="15" customHeight="1" x14ac:dyDescent="0.25">
      <c r="A103" s="362" t="s">
        <v>118</v>
      </c>
      <c r="B103" s="383">
        <v>44.9</v>
      </c>
      <c r="C103" s="379">
        <f t="shared" si="8"/>
        <v>42.655000000000001</v>
      </c>
      <c r="D103" s="10" t="s">
        <v>545</v>
      </c>
    </row>
    <row r="104" spans="1:4" ht="15" customHeight="1" x14ac:dyDescent="0.25">
      <c r="A104" s="362" t="s">
        <v>121</v>
      </c>
      <c r="B104" s="383">
        <v>26.9</v>
      </c>
      <c r="C104" s="379">
        <f t="shared" si="8"/>
        <v>25.555</v>
      </c>
      <c r="D104" s="10" t="s">
        <v>119</v>
      </c>
    </row>
    <row r="105" spans="1:4" ht="15" customHeight="1" x14ac:dyDescent="0.25">
      <c r="A105" s="362" t="s">
        <v>269</v>
      </c>
      <c r="B105" s="383">
        <v>28.9</v>
      </c>
      <c r="C105" s="379">
        <f t="shared" si="8"/>
        <v>27.454999999999998</v>
      </c>
      <c r="D105" s="10" t="s">
        <v>122</v>
      </c>
    </row>
    <row r="106" spans="1:4" ht="15" customHeight="1" x14ac:dyDescent="0.25">
      <c r="A106" s="42" t="s">
        <v>552</v>
      </c>
      <c r="B106" s="383">
        <v>42.768000000000001</v>
      </c>
      <c r="C106" s="379">
        <f t="shared" si="8"/>
        <v>40.629600000000003</v>
      </c>
      <c r="D106" s="4" t="s">
        <v>550</v>
      </c>
    </row>
    <row r="107" spans="1:4" ht="15" customHeight="1" x14ac:dyDescent="0.25">
      <c r="A107" s="42" t="s">
        <v>553</v>
      </c>
      <c r="B107" s="383">
        <v>44.71200000000001</v>
      </c>
      <c r="C107" s="379">
        <f t="shared" si="8"/>
        <v>42.476400000000012</v>
      </c>
      <c r="D107" s="4" t="s">
        <v>551</v>
      </c>
    </row>
    <row r="108" spans="1:4" ht="15" customHeight="1" x14ac:dyDescent="0.25">
      <c r="A108" s="42" t="s">
        <v>899</v>
      </c>
      <c r="B108" s="383">
        <v>44.91</v>
      </c>
      <c r="C108" s="379">
        <f t="shared" si="8"/>
        <v>42.664499999999997</v>
      </c>
      <c r="D108" s="252" t="s">
        <v>846</v>
      </c>
    </row>
    <row r="109" spans="1:4" ht="15" customHeight="1" x14ac:dyDescent="0.25">
      <c r="A109" s="42" t="s">
        <v>558</v>
      </c>
      <c r="B109" s="383">
        <v>29.99</v>
      </c>
      <c r="C109" s="379">
        <f t="shared" si="8"/>
        <v>28.490499999999997</v>
      </c>
      <c r="D109" s="4" t="s">
        <v>556</v>
      </c>
    </row>
    <row r="110" spans="1:4" ht="15" customHeight="1" x14ac:dyDescent="0.25">
      <c r="A110" s="42" t="s">
        <v>559</v>
      </c>
      <c r="B110" s="383">
        <v>29.99</v>
      </c>
      <c r="C110" s="379">
        <f t="shared" si="8"/>
        <v>28.490499999999997</v>
      </c>
      <c r="D110" s="4" t="s">
        <v>557</v>
      </c>
    </row>
    <row r="111" spans="1:4" ht="15" customHeight="1" x14ac:dyDescent="0.25">
      <c r="A111" s="352" t="s">
        <v>124</v>
      </c>
      <c r="B111" s="383" t="s">
        <v>854</v>
      </c>
      <c r="C111" s="378" t="s">
        <v>195</v>
      </c>
      <c r="D111" s="29" t="s">
        <v>12</v>
      </c>
    </row>
    <row r="112" spans="1:4" ht="15" customHeight="1" x14ac:dyDescent="0.25">
      <c r="A112" s="362" t="s">
        <v>251</v>
      </c>
      <c r="B112" s="383">
        <v>39.9</v>
      </c>
      <c r="C112" s="379">
        <f>-B112*5%+B112</f>
        <v>37.905000000000001</v>
      </c>
      <c r="D112" s="5" t="s">
        <v>1015</v>
      </c>
    </row>
    <row r="113" spans="1:4" ht="15" customHeight="1" x14ac:dyDescent="0.25">
      <c r="A113" s="364" t="s">
        <v>237</v>
      </c>
      <c r="B113" s="383">
        <v>34.9</v>
      </c>
      <c r="C113" s="379">
        <f>-B113*5%+B113</f>
        <v>33.155000000000001</v>
      </c>
      <c r="D113" s="5" t="s">
        <v>546</v>
      </c>
    </row>
    <row r="114" spans="1:4" ht="15" customHeight="1" x14ac:dyDescent="0.25">
      <c r="A114" s="362" t="s">
        <v>238</v>
      </c>
      <c r="B114" s="383">
        <v>24.9</v>
      </c>
      <c r="C114" s="379">
        <f>-B114*5%+B114</f>
        <v>23.654999999999998</v>
      </c>
      <c r="D114" s="5" t="s">
        <v>898</v>
      </c>
    </row>
    <row r="115" spans="1:4" ht="15" customHeight="1" x14ac:dyDescent="0.25">
      <c r="A115" s="352" t="s">
        <v>129</v>
      </c>
      <c r="B115" s="383" t="s">
        <v>854</v>
      </c>
      <c r="C115" s="378" t="s">
        <v>195</v>
      </c>
      <c r="D115" s="29" t="s">
        <v>12</v>
      </c>
    </row>
    <row r="116" spans="1:4" ht="15" customHeight="1" x14ac:dyDescent="0.25">
      <c r="A116" s="362" t="s">
        <v>270</v>
      </c>
      <c r="B116" s="383">
        <v>38.9</v>
      </c>
      <c r="C116" s="379">
        <f>-B116*5%+B116</f>
        <v>36.954999999999998</v>
      </c>
      <c r="D116" s="10" t="s">
        <v>130</v>
      </c>
    </row>
    <row r="117" spans="1:4" ht="15" customHeight="1" x14ac:dyDescent="0.25">
      <c r="A117" s="362" t="s">
        <v>133</v>
      </c>
      <c r="B117" s="383">
        <v>17.899999999999999</v>
      </c>
      <c r="C117" s="379">
        <f>-B117*5%+B117</f>
        <v>17.004999999999999</v>
      </c>
      <c r="D117" s="10" t="s">
        <v>131</v>
      </c>
    </row>
    <row r="118" spans="1:4" ht="15" customHeight="1" x14ac:dyDescent="0.25">
      <c r="A118" s="362" t="s">
        <v>240</v>
      </c>
      <c r="B118" s="383">
        <v>19.911999999999999</v>
      </c>
      <c r="C118" s="379">
        <f>-B118*5%+B118</f>
        <v>18.916399999999999</v>
      </c>
      <c r="D118" s="10" t="s">
        <v>134</v>
      </c>
    </row>
    <row r="119" spans="1:4" ht="15" customHeight="1" x14ac:dyDescent="0.25">
      <c r="A119" s="352" t="s">
        <v>999</v>
      </c>
      <c r="B119" s="383" t="s">
        <v>854</v>
      </c>
      <c r="C119" s="378" t="s">
        <v>195</v>
      </c>
      <c r="D119" s="29" t="s">
        <v>12</v>
      </c>
    </row>
    <row r="120" spans="1:4" ht="15" customHeight="1" x14ac:dyDescent="0.25">
      <c r="A120" s="366" t="s">
        <v>1000</v>
      </c>
      <c r="B120" s="383">
        <v>9.9</v>
      </c>
      <c r="C120" s="379">
        <f t="shared" ref="C120:C121" si="9">-B120*5%+B120</f>
        <v>9.4050000000000011</v>
      </c>
      <c r="D120" s="27" t="s">
        <v>1002</v>
      </c>
    </row>
    <row r="121" spans="1:4" ht="15" customHeight="1" x14ac:dyDescent="0.25">
      <c r="A121" s="366" t="s">
        <v>1001</v>
      </c>
      <c r="B121" s="383">
        <v>9.9</v>
      </c>
      <c r="C121" s="379">
        <f t="shared" si="9"/>
        <v>9.4050000000000011</v>
      </c>
      <c r="D121" s="27" t="s">
        <v>1003</v>
      </c>
    </row>
    <row r="122" spans="1:4" ht="15" customHeight="1" x14ac:dyDescent="0.25">
      <c r="A122" s="352" t="s">
        <v>136</v>
      </c>
      <c r="B122" s="383" t="s">
        <v>854</v>
      </c>
      <c r="C122" s="378" t="s">
        <v>195</v>
      </c>
      <c r="D122" s="29" t="s">
        <v>12</v>
      </c>
    </row>
    <row r="123" spans="1:4" ht="15" customHeight="1" x14ac:dyDescent="0.25">
      <c r="A123" s="357" t="s">
        <v>139</v>
      </c>
      <c r="B123" s="383">
        <v>37.9</v>
      </c>
      <c r="C123" s="379">
        <f>-B123*5%+B123</f>
        <v>36.004999999999995</v>
      </c>
      <c r="D123" s="10" t="s">
        <v>902</v>
      </c>
    </row>
    <row r="124" spans="1:4" ht="15" customHeight="1" x14ac:dyDescent="0.25">
      <c r="A124" s="357" t="s">
        <v>142</v>
      </c>
      <c r="B124" s="383">
        <v>49.9</v>
      </c>
      <c r="C124" s="379">
        <f>-B124*5%+B124</f>
        <v>47.405000000000001</v>
      </c>
      <c r="D124" s="10" t="s">
        <v>1263</v>
      </c>
    </row>
    <row r="125" spans="1:4" ht="15" customHeight="1" x14ac:dyDescent="0.25">
      <c r="A125" s="357" t="s">
        <v>145</v>
      </c>
      <c r="B125" s="383">
        <v>49.9</v>
      </c>
      <c r="C125" s="379">
        <f>-B125*5%+B125</f>
        <v>47.405000000000001</v>
      </c>
      <c r="D125" s="10" t="s">
        <v>143</v>
      </c>
    </row>
    <row r="126" spans="1:4" ht="15" customHeight="1" x14ac:dyDescent="0.25">
      <c r="A126" s="357" t="s">
        <v>147</v>
      </c>
      <c r="B126" s="383">
        <v>36.9</v>
      </c>
      <c r="C126" s="379">
        <f>-B126*5%+B126</f>
        <v>35.055</v>
      </c>
      <c r="D126" s="10" t="s">
        <v>884</v>
      </c>
    </row>
    <row r="127" spans="1:4" ht="15" customHeight="1" x14ac:dyDescent="0.25">
      <c r="A127" s="367" t="s">
        <v>196</v>
      </c>
      <c r="B127" s="383" t="s">
        <v>854</v>
      </c>
      <c r="C127" s="378" t="s">
        <v>195</v>
      </c>
      <c r="D127" s="29" t="s">
        <v>12</v>
      </c>
    </row>
    <row r="128" spans="1:4" ht="15" customHeight="1" x14ac:dyDescent="0.25">
      <c r="A128" s="368" t="s">
        <v>191</v>
      </c>
      <c r="B128" s="383">
        <v>269</v>
      </c>
      <c r="C128" s="379">
        <f>-B128*5%+B128</f>
        <v>255.55</v>
      </c>
      <c r="D128" s="12" t="s">
        <v>148</v>
      </c>
    </row>
    <row r="129" spans="1:4" ht="15" customHeight="1" x14ac:dyDescent="0.25">
      <c r="A129" s="368" t="s">
        <v>192</v>
      </c>
      <c r="B129" s="383">
        <v>269</v>
      </c>
      <c r="C129" s="379">
        <f>-B129*5%+B129</f>
        <v>255.55</v>
      </c>
      <c r="D129" s="12" t="s">
        <v>149</v>
      </c>
    </row>
    <row r="130" spans="1:4" ht="15" customHeight="1" x14ac:dyDescent="0.25">
      <c r="A130" s="369" t="s">
        <v>193</v>
      </c>
      <c r="B130" s="383">
        <v>269</v>
      </c>
      <c r="C130" s="379">
        <f>-B130*5%+B130</f>
        <v>255.55</v>
      </c>
      <c r="D130" s="12" t="s">
        <v>151</v>
      </c>
    </row>
    <row r="131" spans="1:4" ht="19.899999999999999" customHeight="1" x14ac:dyDescent="0.25">
      <c r="A131" s="369" t="s">
        <v>194</v>
      </c>
      <c r="B131" s="383">
        <v>269</v>
      </c>
      <c r="C131" s="379">
        <f>-B131*5%+B131</f>
        <v>255.55</v>
      </c>
      <c r="D131" s="12" t="s">
        <v>152</v>
      </c>
    </row>
    <row r="132" spans="1:4" ht="15" customHeight="1" x14ac:dyDescent="0.25">
      <c r="A132" s="370" t="s">
        <v>322</v>
      </c>
      <c r="B132" s="383" t="s">
        <v>854</v>
      </c>
      <c r="C132" s="378" t="s">
        <v>195</v>
      </c>
      <c r="D132" s="29" t="s">
        <v>12</v>
      </c>
    </row>
    <row r="133" spans="1:4" ht="15" customHeight="1" x14ac:dyDescent="0.25">
      <c r="A133" s="371" t="s">
        <v>324</v>
      </c>
      <c r="B133" s="383">
        <v>319</v>
      </c>
      <c r="C133" s="379">
        <f>-B133*5%+B133</f>
        <v>303.05</v>
      </c>
      <c r="D133" s="12" t="s">
        <v>323</v>
      </c>
    </row>
    <row r="134" spans="1:4" ht="15" customHeight="1" x14ac:dyDescent="0.25">
      <c r="A134" s="371" t="s">
        <v>567</v>
      </c>
      <c r="B134" s="383">
        <v>189</v>
      </c>
      <c r="C134" s="379">
        <f>-B134*5%+B134</f>
        <v>179.55</v>
      </c>
      <c r="D134" s="12" t="s">
        <v>568</v>
      </c>
    </row>
    <row r="135" spans="1:4" ht="15" customHeight="1" x14ac:dyDescent="0.25">
      <c r="A135" s="370" t="s">
        <v>326</v>
      </c>
      <c r="B135" s="383" t="s">
        <v>854</v>
      </c>
      <c r="C135" s="378" t="s">
        <v>195</v>
      </c>
      <c r="D135" s="29" t="s">
        <v>12</v>
      </c>
    </row>
    <row r="136" spans="1:4" ht="15" customHeight="1" x14ac:dyDescent="0.25">
      <c r="A136" s="371" t="s">
        <v>328</v>
      </c>
      <c r="B136" s="383">
        <v>289</v>
      </c>
      <c r="C136" s="379">
        <f>-B136*5%+B136</f>
        <v>274.55</v>
      </c>
      <c r="D136" s="12" t="s">
        <v>327</v>
      </c>
    </row>
    <row r="137" spans="1:4" ht="15" customHeight="1" x14ac:dyDescent="0.25">
      <c r="A137" s="370" t="s">
        <v>330</v>
      </c>
      <c r="B137" s="383" t="s">
        <v>854</v>
      </c>
      <c r="C137" s="378" t="s">
        <v>195</v>
      </c>
      <c r="D137" s="29" t="s">
        <v>12</v>
      </c>
    </row>
    <row r="138" spans="1:4" ht="15" customHeight="1" x14ac:dyDescent="0.25">
      <c r="A138" s="372" t="s">
        <v>332</v>
      </c>
      <c r="B138" s="383">
        <v>313</v>
      </c>
      <c r="C138" s="379">
        <f>-B138*5%+B138</f>
        <v>297.35000000000002</v>
      </c>
      <c r="D138" s="12" t="s">
        <v>331</v>
      </c>
    </row>
    <row r="139" spans="1:4" ht="15" customHeight="1" x14ac:dyDescent="0.25">
      <c r="A139" s="372" t="s">
        <v>335</v>
      </c>
      <c r="B139" s="383">
        <v>429</v>
      </c>
      <c r="C139" s="379">
        <f>-B139*5%+B139</f>
        <v>407.55</v>
      </c>
      <c r="D139" s="12" t="s">
        <v>334</v>
      </c>
    </row>
    <row r="140" spans="1:4" ht="15" customHeight="1" x14ac:dyDescent="0.25">
      <c r="A140" s="372" t="s">
        <v>338</v>
      </c>
      <c r="B140" s="383">
        <v>329</v>
      </c>
      <c r="C140" s="379">
        <f>-B140*5%+B140</f>
        <v>312.55</v>
      </c>
      <c r="D140" s="12" t="s">
        <v>337</v>
      </c>
    </row>
    <row r="141" spans="1:4" ht="15" customHeight="1" x14ac:dyDescent="0.25">
      <c r="A141" s="370" t="s">
        <v>340</v>
      </c>
      <c r="B141" s="383" t="s">
        <v>854</v>
      </c>
      <c r="C141" s="378" t="s">
        <v>195</v>
      </c>
      <c r="D141" s="29" t="s">
        <v>12</v>
      </c>
    </row>
    <row r="142" spans="1:4" ht="15" customHeight="1" x14ac:dyDescent="0.25">
      <c r="A142" s="372" t="s">
        <v>342</v>
      </c>
      <c r="B142" s="383">
        <v>313</v>
      </c>
      <c r="C142" s="379">
        <f>-B142*5%+B142</f>
        <v>297.35000000000002</v>
      </c>
      <c r="D142" s="12" t="s">
        <v>341</v>
      </c>
    </row>
    <row r="143" spans="1:4" ht="15" customHeight="1" x14ac:dyDescent="0.25">
      <c r="A143" s="372" t="s">
        <v>610</v>
      </c>
      <c r="B143" s="383">
        <v>189</v>
      </c>
      <c r="C143" s="379">
        <f>-B143*5%+B143</f>
        <v>179.55</v>
      </c>
      <c r="D143" s="12" t="s">
        <v>611</v>
      </c>
    </row>
    <row r="144" spans="1:4" ht="15" customHeight="1" x14ac:dyDescent="0.25">
      <c r="A144" s="372" t="s">
        <v>345</v>
      </c>
      <c r="B144" s="383">
        <v>429</v>
      </c>
      <c r="C144" s="379">
        <f>-B144*5%+B144</f>
        <v>407.55</v>
      </c>
      <c r="D144" s="12" t="s">
        <v>344</v>
      </c>
    </row>
    <row r="145" spans="1:4" ht="15" customHeight="1" x14ac:dyDescent="0.25">
      <c r="A145" s="370" t="s">
        <v>347</v>
      </c>
      <c r="B145" s="383" t="s">
        <v>854</v>
      </c>
      <c r="C145" s="378" t="s">
        <v>195</v>
      </c>
      <c r="D145" s="29" t="s">
        <v>12</v>
      </c>
    </row>
    <row r="146" spans="1:4" ht="15" customHeight="1" x14ac:dyDescent="0.25">
      <c r="A146" s="371" t="s">
        <v>349</v>
      </c>
      <c r="B146" s="383">
        <v>210.6</v>
      </c>
      <c r="C146" s="379">
        <f>-B146*5%+B146</f>
        <v>200.07</v>
      </c>
      <c r="D146" s="12" t="s">
        <v>348</v>
      </c>
    </row>
    <row r="147" spans="1:4" ht="15" customHeight="1" x14ac:dyDescent="0.25">
      <c r="A147" s="371" t="s">
        <v>352</v>
      </c>
      <c r="B147" s="383">
        <v>224.1</v>
      </c>
      <c r="C147" s="379">
        <f>-B147*5%+B147</f>
        <v>212.89499999999998</v>
      </c>
      <c r="D147" s="12" t="s">
        <v>351</v>
      </c>
    </row>
    <row r="148" spans="1:4" ht="15" customHeight="1" x14ac:dyDescent="0.25">
      <c r="A148" s="371" t="s">
        <v>355</v>
      </c>
      <c r="B148" s="383">
        <v>269</v>
      </c>
      <c r="C148" s="379">
        <f>-B148*5%+B148</f>
        <v>255.55</v>
      </c>
      <c r="D148" s="12" t="s">
        <v>354</v>
      </c>
    </row>
    <row r="149" spans="1:4" ht="15" customHeight="1" x14ac:dyDescent="0.25">
      <c r="A149" s="371" t="s">
        <v>358</v>
      </c>
      <c r="B149" s="383">
        <v>299</v>
      </c>
      <c r="C149" s="379">
        <f>-B149*5%+B149</f>
        <v>284.05</v>
      </c>
      <c r="D149" s="12" t="s">
        <v>357</v>
      </c>
    </row>
    <row r="150" spans="1:4" ht="15" customHeight="1" x14ac:dyDescent="0.25">
      <c r="A150" s="370" t="s">
        <v>360</v>
      </c>
      <c r="B150" s="383" t="s">
        <v>854</v>
      </c>
      <c r="C150" s="378" t="s">
        <v>195</v>
      </c>
      <c r="D150" s="29" t="s">
        <v>12</v>
      </c>
    </row>
    <row r="151" spans="1:4" ht="15" customHeight="1" x14ac:dyDescent="0.25">
      <c r="A151" s="373" t="s">
        <v>362</v>
      </c>
      <c r="B151" s="383">
        <v>179.1</v>
      </c>
      <c r="C151" s="379">
        <f>-B151*5%+B151</f>
        <v>170.14499999999998</v>
      </c>
      <c r="D151" s="12" t="s">
        <v>361</v>
      </c>
    </row>
    <row r="152" spans="1:4" ht="15" customHeight="1" x14ac:dyDescent="0.25">
      <c r="A152" s="373" t="s">
        <v>365</v>
      </c>
      <c r="B152" s="383">
        <v>197.1</v>
      </c>
      <c r="C152" s="379">
        <f>-B152*5%+B152</f>
        <v>187.245</v>
      </c>
      <c r="D152" s="12" t="s">
        <v>364</v>
      </c>
    </row>
    <row r="153" spans="1:4" ht="15" customHeight="1" x14ac:dyDescent="0.25">
      <c r="A153" s="373" t="s">
        <v>368</v>
      </c>
      <c r="B153" s="383">
        <v>239</v>
      </c>
      <c r="C153" s="379">
        <f>-B153*5%+B153</f>
        <v>227.05</v>
      </c>
      <c r="D153" s="12" t="s">
        <v>367</v>
      </c>
    </row>
    <row r="154" spans="1:4" ht="15" customHeight="1" x14ac:dyDescent="0.25">
      <c r="A154" s="373" t="s">
        <v>371</v>
      </c>
      <c r="B154" s="383">
        <v>269</v>
      </c>
      <c r="C154" s="379">
        <f>-B154*5%+B154</f>
        <v>255.55</v>
      </c>
      <c r="D154" s="12" t="s">
        <v>370</v>
      </c>
    </row>
    <row r="155" spans="1:4" ht="15" customHeight="1" x14ac:dyDescent="0.25">
      <c r="A155" s="370" t="s">
        <v>373</v>
      </c>
      <c r="B155" s="383" t="s">
        <v>854</v>
      </c>
      <c r="C155" s="378" t="s">
        <v>195</v>
      </c>
      <c r="D155" s="29" t="s">
        <v>12</v>
      </c>
    </row>
    <row r="156" spans="1:4" ht="15" customHeight="1" x14ac:dyDescent="0.25">
      <c r="A156" s="374" t="s">
        <v>375</v>
      </c>
      <c r="B156" s="383">
        <v>206.1</v>
      </c>
      <c r="C156" s="379">
        <f>-B156*5%+B156</f>
        <v>195.79499999999999</v>
      </c>
      <c r="D156" s="12" t="s">
        <v>374</v>
      </c>
    </row>
    <row r="157" spans="1:4" ht="15" customHeight="1" x14ac:dyDescent="0.25">
      <c r="A157" s="374" t="s">
        <v>378</v>
      </c>
      <c r="B157" s="383">
        <v>215.1</v>
      </c>
      <c r="C157" s="379">
        <f>-B157*5%+B157</f>
        <v>204.345</v>
      </c>
      <c r="D157" s="12" t="s">
        <v>377</v>
      </c>
    </row>
    <row r="158" spans="1:4" ht="15" customHeight="1" x14ac:dyDescent="0.25">
      <c r="A158" s="372" t="s">
        <v>381</v>
      </c>
      <c r="B158" s="383">
        <v>296.10000000000002</v>
      </c>
      <c r="C158" s="379">
        <f>-B158*5%+B158</f>
        <v>281.29500000000002</v>
      </c>
      <c r="D158" s="12" t="s">
        <v>380</v>
      </c>
    </row>
    <row r="159" spans="1:4" ht="15" customHeight="1" x14ac:dyDescent="0.25">
      <c r="A159" s="372" t="s">
        <v>384</v>
      </c>
      <c r="B159" s="383">
        <v>310.5</v>
      </c>
      <c r="C159" s="379">
        <f>-B159*5%+B159</f>
        <v>294.97500000000002</v>
      </c>
      <c r="D159" s="12" t="s">
        <v>383</v>
      </c>
    </row>
    <row r="160" spans="1:4" ht="15" customHeight="1" x14ac:dyDescent="0.25">
      <c r="A160" s="372" t="s">
        <v>387</v>
      </c>
      <c r="B160" s="383">
        <v>239</v>
      </c>
      <c r="C160" s="379">
        <f>-B160*5%+B160</f>
        <v>227.05</v>
      </c>
      <c r="D160" s="12" t="s">
        <v>386</v>
      </c>
    </row>
    <row r="161" spans="1:4" ht="15" customHeight="1" x14ac:dyDescent="0.25">
      <c r="A161" s="370" t="s">
        <v>389</v>
      </c>
      <c r="B161" s="383" t="s">
        <v>854</v>
      </c>
      <c r="C161" s="378" t="s">
        <v>195</v>
      </c>
      <c r="D161" s="29" t="s">
        <v>12</v>
      </c>
    </row>
    <row r="162" spans="1:4" ht="15" customHeight="1" x14ac:dyDescent="0.25">
      <c r="A162" s="374" t="s">
        <v>391</v>
      </c>
      <c r="B162" s="383">
        <v>206.1</v>
      </c>
      <c r="C162" s="379">
        <f>-B162*5%+B162</f>
        <v>195.79499999999999</v>
      </c>
      <c r="D162" s="12" t="s">
        <v>390</v>
      </c>
    </row>
    <row r="163" spans="1:4" ht="15" customHeight="1" x14ac:dyDescent="0.25">
      <c r="A163" s="374" t="s">
        <v>394</v>
      </c>
      <c r="B163" s="383">
        <v>215.1</v>
      </c>
      <c r="C163" s="379">
        <f>-B163*5%+B163</f>
        <v>204.345</v>
      </c>
      <c r="D163" s="12" t="s">
        <v>393</v>
      </c>
    </row>
    <row r="164" spans="1:4" ht="15" customHeight="1" x14ac:dyDescent="0.25">
      <c r="A164" s="372" t="s">
        <v>397</v>
      </c>
      <c r="B164" s="383">
        <v>296.10000000000002</v>
      </c>
      <c r="C164" s="379">
        <f>-B164*5%+B164</f>
        <v>281.29500000000002</v>
      </c>
      <c r="D164" s="12" t="s">
        <v>396</v>
      </c>
    </row>
    <row r="165" spans="1:4" ht="15" customHeight="1" x14ac:dyDescent="0.25">
      <c r="A165" s="372" t="s">
        <v>400</v>
      </c>
      <c r="B165" s="383">
        <v>310.5</v>
      </c>
      <c r="C165" s="379">
        <f>-B165*5%+B165</f>
        <v>294.97500000000002</v>
      </c>
      <c r="D165" s="12" t="s">
        <v>399</v>
      </c>
    </row>
    <row r="166" spans="1:4" ht="15" customHeight="1" x14ac:dyDescent="0.25">
      <c r="A166" s="370" t="s">
        <v>535</v>
      </c>
      <c r="B166" s="383" t="s">
        <v>854</v>
      </c>
      <c r="C166" s="378" t="s">
        <v>195</v>
      </c>
      <c r="D166" s="29" t="s">
        <v>12</v>
      </c>
    </row>
    <row r="167" spans="1:4" ht="15" customHeight="1" x14ac:dyDescent="0.25">
      <c r="A167" s="251" t="s">
        <v>537</v>
      </c>
      <c r="B167" s="383">
        <v>189</v>
      </c>
      <c r="C167" s="379">
        <f>-B167*5%+B167</f>
        <v>179.55</v>
      </c>
      <c r="D167" s="97" t="s">
        <v>536</v>
      </c>
    </row>
    <row r="168" spans="1:4" ht="15" customHeight="1" x14ac:dyDescent="0.25">
      <c r="A168" s="251" t="s">
        <v>539</v>
      </c>
      <c r="B168" s="383">
        <v>189</v>
      </c>
      <c r="C168" s="379">
        <f>-B168*5%+B168</f>
        <v>179.55</v>
      </c>
      <c r="D168" s="97" t="s">
        <v>538</v>
      </c>
    </row>
    <row r="169" spans="1:4" ht="15" customHeight="1" x14ac:dyDescent="0.25">
      <c r="A169" s="375" t="s">
        <v>154</v>
      </c>
      <c r="B169" s="383" t="s">
        <v>854</v>
      </c>
      <c r="C169" s="378" t="s">
        <v>195</v>
      </c>
      <c r="D169" s="29" t="s">
        <v>12</v>
      </c>
    </row>
    <row r="170" spans="1:4" ht="15" customHeight="1" x14ac:dyDescent="0.25">
      <c r="A170" s="376" t="s">
        <v>197</v>
      </c>
      <c r="B170" s="383">
        <v>49.34</v>
      </c>
      <c r="C170" s="379">
        <f>-B170*5%+B170</f>
        <v>46.873000000000005</v>
      </c>
      <c r="D170" s="12" t="s">
        <v>155</v>
      </c>
    </row>
    <row r="171" spans="1:4" ht="15" customHeight="1" x14ac:dyDescent="0.25">
      <c r="A171" s="376" t="s">
        <v>198</v>
      </c>
      <c r="B171" s="383">
        <v>119</v>
      </c>
      <c r="C171" s="379">
        <f>-B171*5%+B171</f>
        <v>113.05</v>
      </c>
      <c r="D171" s="12" t="s">
        <v>254</v>
      </c>
    </row>
    <row r="172" spans="1:4" ht="15" customHeight="1" x14ac:dyDescent="0.25">
      <c r="A172" s="376" t="s">
        <v>199</v>
      </c>
      <c r="B172" s="383">
        <v>159</v>
      </c>
      <c r="C172" s="379">
        <f>-B172*5%+B172</f>
        <v>151.05000000000001</v>
      </c>
      <c r="D172" s="12" t="s">
        <v>416</v>
      </c>
    </row>
    <row r="173" spans="1:4" ht="15" customHeight="1" x14ac:dyDescent="0.25">
      <c r="A173" s="352" t="s">
        <v>156</v>
      </c>
      <c r="B173" s="383" t="s">
        <v>854</v>
      </c>
      <c r="C173" s="378" t="s">
        <v>195</v>
      </c>
      <c r="D173" s="29" t="s">
        <v>12</v>
      </c>
    </row>
    <row r="174" spans="1:4" ht="15" customHeight="1" x14ac:dyDescent="0.25">
      <c r="A174" s="357" t="s">
        <v>159</v>
      </c>
      <c r="B174" s="383">
        <v>17.899999999999999</v>
      </c>
      <c r="C174" s="379">
        <f t="shared" ref="C174:C179" si="10">-B174*5%+B174</f>
        <v>17.004999999999999</v>
      </c>
      <c r="D174" s="4" t="s">
        <v>157</v>
      </c>
    </row>
    <row r="175" spans="1:4" ht="15" customHeight="1" x14ac:dyDescent="0.25">
      <c r="A175" s="357" t="s">
        <v>162</v>
      </c>
      <c r="B175" s="383">
        <v>17.899999999999999</v>
      </c>
      <c r="C175" s="379">
        <f t="shared" si="10"/>
        <v>17.004999999999999</v>
      </c>
      <c r="D175" s="4" t="s">
        <v>160</v>
      </c>
    </row>
    <row r="176" spans="1:4" ht="15" customHeight="1" x14ac:dyDescent="0.25">
      <c r="A176" s="357" t="s">
        <v>165</v>
      </c>
      <c r="B176" s="383">
        <v>17.899999999999999</v>
      </c>
      <c r="C176" s="379">
        <f t="shared" si="10"/>
        <v>17.004999999999999</v>
      </c>
      <c r="D176" s="4" t="s">
        <v>163</v>
      </c>
    </row>
    <row r="177" spans="1:4" ht="15" customHeight="1" x14ac:dyDescent="0.25">
      <c r="A177" s="357" t="s">
        <v>168</v>
      </c>
      <c r="B177" s="383">
        <v>18.899999999999999</v>
      </c>
      <c r="C177" s="379">
        <f t="shared" si="10"/>
        <v>17.954999999999998</v>
      </c>
      <c r="D177" s="4" t="s">
        <v>166</v>
      </c>
    </row>
    <row r="178" spans="1:4" ht="15" customHeight="1" x14ac:dyDescent="0.25">
      <c r="A178" s="357" t="s">
        <v>171</v>
      </c>
      <c r="B178" s="383">
        <v>18.899999999999999</v>
      </c>
      <c r="C178" s="379">
        <f t="shared" si="10"/>
        <v>17.954999999999998</v>
      </c>
      <c r="D178" s="4" t="s">
        <v>169</v>
      </c>
    </row>
    <row r="179" spans="1:4" ht="15" customHeight="1" x14ac:dyDescent="0.25">
      <c r="A179" s="357" t="s">
        <v>174</v>
      </c>
      <c r="B179" s="383">
        <v>18.899999999999999</v>
      </c>
      <c r="C179" s="379">
        <f t="shared" si="10"/>
        <v>17.954999999999998</v>
      </c>
      <c r="D179" s="4" t="s">
        <v>172</v>
      </c>
    </row>
    <row r="180" spans="1:4" ht="18.75" x14ac:dyDescent="0.25">
      <c r="A180" s="352" t="s">
        <v>1006</v>
      </c>
      <c r="B180" s="383" t="s">
        <v>854</v>
      </c>
      <c r="C180" s="378" t="s">
        <v>195</v>
      </c>
      <c r="D180" s="29" t="s">
        <v>12</v>
      </c>
    </row>
    <row r="181" spans="1:4" x14ac:dyDescent="0.25">
      <c r="A181" s="377" t="s">
        <v>1008</v>
      </c>
      <c r="B181" s="383">
        <v>129</v>
      </c>
      <c r="C181" s="379">
        <f t="shared" ref="C181" si="11">-B181*5%+B181</f>
        <v>122.55</v>
      </c>
      <c r="D181" s="4" t="s">
        <v>1007</v>
      </c>
    </row>
  </sheetData>
  <autoFilter ref="A2:E181" xr:uid="{00000000-0001-0000-0100-000000000000}"/>
  <phoneticPr fontId="34" type="noConversion"/>
  <conditionalFormatting sqref="D15:D16">
    <cfRule type="duplicateValues" dxfId="4" priority="1"/>
    <cfRule type="duplicateValues" dxfId="3" priority="2"/>
  </conditionalFormatting>
  <conditionalFormatting sqref="D18:D26">
    <cfRule type="duplicateValues" dxfId="2" priority="16"/>
  </conditionalFormatting>
  <pageMargins left="0.511811024" right="0.511811024" top="0.78740157499999996" bottom="0.78740157499999996" header="0.31496062000000002" footer="0.31496062000000002"/>
  <pageSetup paperSize="9"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70D7-AE76-482D-8F03-384ED94F8465}">
  <sheetPr codeName="Planilha3" filterMode="1">
    <pageSetUpPr fitToPage="1"/>
  </sheetPr>
  <dimension ref="A1:E203"/>
  <sheetViews>
    <sheetView zoomScale="85" zoomScaleNormal="85" workbookViewId="0">
      <selection activeCell="A76" sqref="A76:XFD76"/>
    </sheetView>
  </sheetViews>
  <sheetFormatPr defaultColWidth="8.85546875" defaultRowHeight="15" x14ac:dyDescent="0.25"/>
  <cols>
    <col min="1" max="1" width="25.28515625" style="299" customWidth="1"/>
    <col min="2" max="2" width="78.5703125" bestFit="1" customWidth="1"/>
    <col min="3" max="3" width="16.42578125" bestFit="1" customWidth="1"/>
    <col min="4" max="4" width="5.28515625" bestFit="1" customWidth="1"/>
    <col min="5" max="5" width="20" customWidth="1"/>
    <col min="12" max="12" width="9" customWidth="1"/>
  </cols>
  <sheetData>
    <row r="1" spans="1:5" x14ac:dyDescent="0.25">
      <c r="A1" s="299" t="s">
        <v>1039</v>
      </c>
      <c r="B1" t="s">
        <v>863</v>
      </c>
      <c r="C1" t="s">
        <v>1040</v>
      </c>
    </row>
    <row r="2" spans="1:5" hidden="1" x14ac:dyDescent="0.25">
      <c r="A2" s="124" t="s">
        <v>26</v>
      </c>
      <c r="B2" s="51" t="s">
        <v>618</v>
      </c>
      <c r="C2" s="73">
        <v>0</v>
      </c>
      <c r="D2" t="s">
        <v>1054</v>
      </c>
    </row>
    <row r="3" spans="1:5" hidden="1" x14ac:dyDescent="0.25">
      <c r="A3" s="124" t="s">
        <v>419</v>
      </c>
      <c r="B3" s="51" t="s">
        <v>619</v>
      </c>
      <c r="C3" s="73">
        <v>0</v>
      </c>
      <c r="D3" t="s">
        <v>1055</v>
      </c>
    </row>
    <row r="4" spans="1:5" hidden="1" x14ac:dyDescent="0.25">
      <c r="A4" s="124" t="s">
        <v>417</v>
      </c>
      <c r="B4" s="51" t="s">
        <v>620</v>
      </c>
      <c r="C4" s="73">
        <v>0</v>
      </c>
      <c r="D4" t="s">
        <v>1057</v>
      </c>
    </row>
    <row r="5" spans="1:5" hidden="1" x14ac:dyDescent="0.25">
      <c r="A5" s="125" t="s">
        <v>525</v>
      </c>
      <c r="B5" s="51" t="s">
        <v>621</v>
      </c>
      <c r="C5" s="73">
        <v>0</v>
      </c>
      <c r="D5" t="s">
        <v>1058</v>
      </c>
    </row>
    <row r="6" spans="1:5" hidden="1" x14ac:dyDescent="0.25">
      <c r="A6" s="125" t="s">
        <v>527</v>
      </c>
      <c r="B6" s="51" t="s">
        <v>622</v>
      </c>
      <c r="C6" s="73">
        <v>0</v>
      </c>
      <c r="D6" t="s">
        <v>1059</v>
      </c>
    </row>
    <row r="7" spans="1:5" hidden="1" x14ac:dyDescent="0.25">
      <c r="A7" s="125" t="s">
        <v>528</v>
      </c>
      <c r="B7" s="51" t="s">
        <v>623</v>
      </c>
      <c r="C7" s="73">
        <v>0</v>
      </c>
      <c r="D7" t="s">
        <v>1060</v>
      </c>
    </row>
    <row r="8" spans="1:5" hidden="1" x14ac:dyDescent="0.25">
      <c r="A8" s="125" t="s">
        <v>614</v>
      </c>
      <c r="B8" s="51" t="s">
        <v>624</v>
      </c>
      <c r="C8" s="73">
        <v>0</v>
      </c>
      <c r="D8" t="s">
        <v>1061</v>
      </c>
    </row>
    <row r="9" spans="1:5" hidden="1" x14ac:dyDescent="0.25">
      <c r="A9" s="124" t="s">
        <v>30</v>
      </c>
      <c r="B9" s="51" t="s">
        <v>625</v>
      </c>
      <c r="C9" s="73">
        <v>0</v>
      </c>
      <c r="D9" t="s">
        <v>1062</v>
      </c>
    </row>
    <row r="10" spans="1:5" x14ac:dyDescent="0.25">
      <c r="A10" s="124" t="s">
        <v>255</v>
      </c>
      <c r="B10" s="51" t="s">
        <v>626</v>
      </c>
      <c r="C10" s="73">
        <v>133.56</v>
      </c>
      <c r="D10" t="s">
        <v>1053</v>
      </c>
      <c r="E10" s="299"/>
    </row>
    <row r="11" spans="1:5" hidden="1" x14ac:dyDescent="0.25">
      <c r="A11" s="124" t="s">
        <v>32</v>
      </c>
      <c r="B11" s="51" t="s">
        <v>627</v>
      </c>
      <c r="C11" s="73">
        <v>0</v>
      </c>
      <c r="D11" t="s">
        <v>1063</v>
      </c>
    </row>
    <row r="12" spans="1:5" x14ac:dyDescent="0.25">
      <c r="A12" s="124" t="s">
        <v>34</v>
      </c>
      <c r="B12" s="51" t="s">
        <v>628</v>
      </c>
      <c r="C12" s="73">
        <v>160.29999999999998</v>
      </c>
      <c r="D12" t="s">
        <v>1064</v>
      </c>
      <c r="E12" s="299"/>
    </row>
    <row r="13" spans="1:5" hidden="1" x14ac:dyDescent="0.25">
      <c r="A13" s="127" t="s">
        <v>418</v>
      </c>
      <c r="B13" s="76" t="s">
        <v>629</v>
      </c>
      <c r="C13" s="73">
        <v>0</v>
      </c>
      <c r="D13" t="s">
        <v>1065</v>
      </c>
    </row>
    <row r="14" spans="1:5" hidden="1" x14ac:dyDescent="0.25">
      <c r="A14" s="124" t="s">
        <v>472</v>
      </c>
      <c r="B14" s="51" t="s">
        <v>630</v>
      </c>
      <c r="C14" s="73">
        <v>0</v>
      </c>
      <c r="D14" t="s">
        <v>1066</v>
      </c>
    </row>
    <row r="15" spans="1:5" hidden="1" x14ac:dyDescent="0.25">
      <c r="A15" s="124" t="s">
        <v>29</v>
      </c>
      <c r="B15" s="51" t="s">
        <v>631</v>
      </c>
      <c r="C15" s="73">
        <v>0</v>
      </c>
      <c r="D15" t="s">
        <v>1067</v>
      </c>
    </row>
    <row r="16" spans="1:5" hidden="1" x14ac:dyDescent="0.25">
      <c r="A16" s="124" t="s">
        <v>28</v>
      </c>
      <c r="B16" s="51" t="s">
        <v>632</v>
      </c>
      <c r="C16" s="73">
        <v>0</v>
      </c>
      <c r="D16" t="s">
        <v>1068</v>
      </c>
    </row>
    <row r="17" spans="1:4" hidden="1" x14ac:dyDescent="0.25">
      <c r="A17" s="124" t="s">
        <v>38</v>
      </c>
      <c r="B17" s="51" t="s">
        <v>633</v>
      </c>
      <c r="C17" s="73">
        <v>0</v>
      </c>
      <c r="D17" t="s">
        <v>1069</v>
      </c>
    </row>
    <row r="18" spans="1:4" hidden="1" x14ac:dyDescent="0.25">
      <c r="A18" s="124" t="s">
        <v>36</v>
      </c>
      <c r="B18" s="51" t="s">
        <v>634</v>
      </c>
      <c r="C18" s="73">
        <v>0</v>
      </c>
      <c r="D18" t="s">
        <v>1070</v>
      </c>
    </row>
    <row r="19" spans="1:4" hidden="1" x14ac:dyDescent="0.25">
      <c r="A19" s="124" t="s">
        <v>46</v>
      </c>
      <c r="B19" s="51" t="s">
        <v>635</v>
      </c>
      <c r="C19" s="73">
        <v>0</v>
      </c>
      <c r="D19" t="s">
        <v>1071</v>
      </c>
    </row>
    <row r="20" spans="1:4" hidden="1" x14ac:dyDescent="0.25">
      <c r="A20" s="124" t="s">
        <v>280</v>
      </c>
      <c r="B20" s="51" t="s">
        <v>636</v>
      </c>
      <c r="C20" s="73">
        <v>0</v>
      </c>
      <c r="D20" t="s">
        <v>1072</v>
      </c>
    </row>
    <row r="21" spans="1:4" hidden="1" x14ac:dyDescent="0.25">
      <c r="A21" s="124" t="s">
        <v>42</v>
      </c>
      <c r="B21" s="51" t="s">
        <v>637</v>
      </c>
      <c r="C21" s="73">
        <v>0</v>
      </c>
      <c r="D21" t="s">
        <v>1073</v>
      </c>
    </row>
    <row r="22" spans="1:4" hidden="1" x14ac:dyDescent="0.25">
      <c r="A22" s="127" t="s">
        <v>434</v>
      </c>
      <c r="B22" s="76" t="s">
        <v>638</v>
      </c>
      <c r="C22" s="73">
        <v>0</v>
      </c>
      <c r="D22" t="s">
        <v>1074</v>
      </c>
    </row>
    <row r="23" spans="1:4" hidden="1" x14ac:dyDescent="0.25">
      <c r="A23" s="127" t="s">
        <v>291</v>
      </c>
      <c r="B23" s="76" t="s">
        <v>639</v>
      </c>
      <c r="C23" s="73">
        <v>0</v>
      </c>
      <c r="D23" t="s">
        <v>1075</v>
      </c>
    </row>
    <row r="24" spans="1:4" hidden="1" x14ac:dyDescent="0.25">
      <c r="A24" s="127" t="s">
        <v>290</v>
      </c>
      <c r="B24" s="76" t="s">
        <v>640</v>
      </c>
      <c r="C24" s="73">
        <v>0</v>
      </c>
      <c r="D24" t="s">
        <v>1076</v>
      </c>
    </row>
    <row r="25" spans="1:4" hidden="1" x14ac:dyDescent="0.25">
      <c r="A25" s="127" t="s">
        <v>433</v>
      </c>
      <c r="B25" s="76" t="s">
        <v>641</v>
      </c>
      <c r="C25" s="73">
        <v>0</v>
      </c>
      <c r="D25" t="s">
        <v>1077</v>
      </c>
    </row>
    <row r="26" spans="1:4" hidden="1" x14ac:dyDescent="0.25">
      <c r="A26" s="127" t="s">
        <v>289</v>
      </c>
      <c r="B26" s="76" t="s">
        <v>642</v>
      </c>
      <c r="C26" s="73">
        <v>0</v>
      </c>
      <c r="D26" t="s">
        <v>1078</v>
      </c>
    </row>
    <row r="27" spans="1:4" hidden="1" x14ac:dyDescent="0.25">
      <c r="A27" s="127" t="s">
        <v>425</v>
      </c>
      <c r="B27" s="76" t="s">
        <v>643</v>
      </c>
      <c r="C27" s="73">
        <v>0</v>
      </c>
      <c r="D27" t="s">
        <v>1079</v>
      </c>
    </row>
    <row r="28" spans="1:4" hidden="1" x14ac:dyDescent="0.25">
      <c r="A28" s="127" t="s">
        <v>294</v>
      </c>
      <c r="B28" s="76" t="s">
        <v>644</v>
      </c>
      <c r="C28" s="73">
        <v>0</v>
      </c>
      <c r="D28" t="s">
        <v>1080</v>
      </c>
    </row>
    <row r="29" spans="1:4" hidden="1" x14ac:dyDescent="0.25">
      <c r="A29" s="127" t="s">
        <v>435</v>
      </c>
      <c r="B29" s="76" t="s">
        <v>645</v>
      </c>
      <c r="C29" s="73">
        <v>0</v>
      </c>
      <c r="D29" t="s">
        <v>1081</v>
      </c>
    </row>
    <row r="30" spans="1:4" hidden="1" x14ac:dyDescent="0.25">
      <c r="A30" s="127" t="s">
        <v>293</v>
      </c>
      <c r="B30" s="76" t="s">
        <v>646</v>
      </c>
      <c r="C30" s="73">
        <v>0</v>
      </c>
      <c r="D30" t="s">
        <v>1082</v>
      </c>
    </row>
    <row r="31" spans="1:4" hidden="1" x14ac:dyDescent="0.25">
      <c r="A31" s="127" t="s">
        <v>292</v>
      </c>
      <c r="B31" s="76" t="s">
        <v>647</v>
      </c>
      <c r="C31" s="73" t="s">
        <v>1267</v>
      </c>
      <c r="D31" t="s">
        <v>1083</v>
      </c>
    </row>
    <row r="32" spans="1:4" hidden="1" x14ac:dyDescent="0.25">
      <c r="A32" s="127" t="s">
        <v>442</v>
      </c>
      <c r="B32" s="76" t="s">
        <v>648</v>
      </c>
      <c r="C32" s="73">
        <v>0</v>
      </c>
      <c r="D32" t="s">
        <v>1084</v>
      </c>
    </row>
    <row r="33" spans="1:4" hidden="1" x14ac:dyDescent="0.25">
      <c r="A33" s="127" t="s">
        <v>302</v>
      </c>
      <c r="B33" s="76" t="s">
        <v>649</v>
      </c>
      <c r="C33" s="73">
        <v>0</v>
      </c>
      <c r="D33" t="s">
        <v>1085</v>
      </c>
    </row>
    <row r="34" spans="1:4" hidden="1" x14ac:dyDescent="0.25">
      <c r="A34" s="127" t="s">
        <v>441</v>
      </c>
      <c r="B34" s="76" t="s">
        <v>650</v>
      </c>
      <c r="C34" s="73">
        <v>0</v>
      </c>
      <c r="D34" t="s">
        <v>1086</v>
      </c>
    </row>
    <row r="35" spans="1:4" hidden="1" x14ac:dyDescent="0.25">
      <c r="A35" s="127" t="s">
        <v>300</v>
      </c>
      <c r="B35" s="76" t="s">
        <v>651</v>
      </c>
      <c r="C35" s="73">
        <v>0</v>
      </c>
      <c r="D35" t="s">
        <v>1087</v>
      </c>
    </row>
    <row r="36" spans="1:4" hidden="1" x14ac:dyDescent="0.25">
      <c r="A36" s="127" t="s">
        <v>440</v>
      </c>
      <c r="B36" s="76" t="s">
        <v>652</v>
      </c>
      <c r="C36" s="73">
        <v>0</v>
      </c>
      <c r="D36" t="s">
        <v>1088</v>
      </c>
    </row>
    <row r="37" spans="1:4" hidden="1" x14ac:dyDescent="0.25">
      <c r="A37" s="127" t="s">
        <v>301</v>
      </c>
      <c r="B37" s="76" t="s">
        <v>653</v>
      </c>
      <c r="C37" s="73">
        <v>0</v>
      </c>
      <c r="D37" t="s">
        <v>1089</v>
      </c>
    </row>
    <row r="38" spans="1:4" hidden="1" x14ac:dyDescent="0.25">
      <c r="A38" s="127" t="s">
        <v>305</v>
      </c>
      <c r="B38" s="76" t="s">
        <v>654</v>
      </c>
      <c r="C38" s="73">
        <v>0</v>
      </c>
      <c r="D38" t="s">
        <v>1090</v>
      </c>
    </row>
    <row r="39" spans="1:4" hidden="1" x14ac:dyDescent="0.25">
      <c r="A39" s="127" t="s">
        <v>443</v>
      </c>
      <c r="B39" s="76" t="s">
        <v>655</v>
      </c>
      <c r="C39" s="73">
        <v>0</v>
      </c>
      <c r="D39" t="s">
        <v>1091</v>
      </c>
    </row>
    <row r="40" spans="1:4" hidden="1" x14ac:dyDescent="0.25">
      <c r="A40" s="127" t="s">
        <v>304</v>
      </c>
      <c r="B40" s="76" t="s">
        <v>656</v>
      </c>
      <c r="C40" s="73">
        <v>0</v>
      </c>
      <c r="D40" t="s">
        <v>1092</v>
      </c>
    </row>
    <row r="41" spans="1:4" hidden="1" x14ac:dyDescent="0.25">
      <c r="A41" s="127" t="s">
        <v>303</v>
      </c>
      <c r="B41" s="76" t="s">
        <v>657</v>
      </c>
      <c r="C41" s="73" t="s">
        <v>1267</v>
      </c>
      <c r="D41" t="s">
        <v>1093</v>
      </c>
    </row>
    <row r="42" spans="1:4" hidden="1" x14ac:dyDescent="0.25">
      <c r="A42" s="124" t="s">
        <v>658</v>
      </c>
      <c r="B42" s="51" t="s">
        <v>659</v>
      </c>
      <c r="C42" s="73">
        <v>0</v>
      </c>
      <c r="D42" t="s">
        <v>1094</v>
      </c>
    </row>
    <row r="43" spans="1:4" hidden="1" x14ac:dyDescent="0.25">
      <c r="A43" s="124" t="s">
        <v>660</v>
      </c>
      <c r="B43" s="51" t="s">
        <v>661</v>
      </c>
      <c r="C43" s="73" t="s">
        <v>1267</v>
      </c>
      <c r="D43" t="s">
        <v>1095</v>
      </c>
    </row>
    <row r="44" spans="1:4" hidden="1" x14ac:dyDescent="0.25">
      <c r="A44" s="124" t="s">
        <v>662</v>
      </c>
      <c r="B44" s="51" t="s">
        <v>663</v>
      </c>
      <c r="C44" s="73">
        <v>0</v>
      </c>
      <c r="D44" t="s">
        <v>1096</v>
      </c>
    </row>
    <row r="45" spans="1:4" hidden="1" x14ac:dyDescent="0.25">
      <c r="A45" s="124" t="s">
        <v>664</v>
      </c>
      <c r="B45" s="51" t="s">
        <v>665</v>
      </c>
      <c r="C45" s="73">
        <v>0</v>
      </c>
      <c r="D45" t="s">
        <v>1097</v>
      </c>
    </row>
    <row r="46" spans="1:4" hidden="1" x14ac:dyDescent="0.25">
      <c r="A46" s="124" t="s">
        <v>666</v>
      </c>
      <c r="B46" s="51" t="s">
        <v>667</v>
      </c>
      <c r="C46" s="73">
        <v>0</v>
      </c>
      <c r="D46" t="s">
        <v>1098</v>
      </c>
    </row>
    <row r="47" spans="1:4" hidden="1" x14ac:dyDescent="0.25">
      <c r="A47" s="124" t="s">
        <v>668</v>
      </c>
      <c r="B47" s="51" t="s">
        <v>669</v>
      </c>
      <c r="C47" s="73">
        <v>0</v>
      </c>
      <c r="D47" t="s">
        <v>1099</v>
      </c>
    </row>
    <row r="48" spans="1:4" hidden="1" x14ac:dyDescent="0.25">
      <c r="A48" s="125" t="s">
        <v>670</v>
      </c>
      <c r="B48" s="51" t="s">
        <v>671</v>
      </c>
      <c r="C48" s="73">
        <v>0</v>
      </c>
      <c r="D48" t="s">
        <v>1100</v>
      </c>
    </row>
    <row r="49" spans="1:5" hidden="1" x14ac:dyDescent="0.25">
      <c r="A49" s="124" t="s">
        <v>672</v>
      </c>
      <c r="B49" s="51" t="s">
        <v>673</v>
      </c>
      <c r="C49" s="73">
        <v>0</v>
      </c>
      <c r="D49" t="s">
        <v>1101</v>
      </c>
    </row>
    <row r="50" spans="1:5" hidden="1" x14ac:dyDescent="0.25">
      <c r="A50" s="124" t="s">
        <v>674</v>
      </c>
      <c r="B50" s="51" t="s">
        <v>675</v>
      </c>
      <c r="C50" s="73">
        <v>0</v>
      </c>
      <c r="D50" t="s">
        <v>1102</v>
      </c>
    </row>
    <row r="51" spans="1:5" hidden="1" x14ac:dyDescent="0.25">
      <c r="A51" s="124" t="s">
        <v>148</v>
      </c>
      <c r="B51" s="51" t="s">
        <v>676</v>
      </c>
      <c r="C51" s="73">
        <v>0</v>
      </c>
      <c r="D51" t="s">
        <v>1103</v>
      </c>
    </row>
    <row r="52" spans="1:5" hidden="1" x14ac:dyDescent="0.25">
      <c r="A52" s="124" t="s">
        <v>149</v>
      </c>
      <c r="B52" s="51" t="s">
        <v>677</v>
      </c>
      <c r="C52" s="73">
        <v>0</v>
      </c>
      <c r="D52" t="s">
        <v>1104</v>
      </c>
    </row>
    <row r="53" spans="1:5" hidden="1" x14ac:dyDescent="0.25">
      <c r="A53" s="124" t="s">
        <v>151</v>
      </c>
      <c r="B53" s="51" t="s">
        <v>678</v>
      </c>
      <c r="C53" s="73">
        <v>0</v>
      </c>
      <c r="D53" t="s">
        <v>1105</v>
      </c>
    </row>
    <row r="54" spans="1:5" hidden="1" x14ac:dyDescent="0.25">
      <c r="A54" s="124" t="s">
        <v>152</v>
      </c>
      <c r="B54" s="51" t="s">
        <v>679</v>
      </c>
      <c r="C54" s="73">
        <v>0</v>
      </c>
      <c r="D54" t="s">
        <v>1106</v>
      </c>
    </row>
    <row r="55" spans="1:5" hidden="1" x14ac:dyDescent="0.25">
      <c r="A55" s="127" t="s">
        <v>416</v>
      </c>
      <c r="B55" s="76" t="s">
        <v>680</v>
      </c>
      <c r="C55" s="73">
        <v>0</v>
      </c>
      <c r="D55" t="s">
        <v>1107</v>
      </c>
    </row>
    <row r="56" spans="1:5" hidden="1" x14ac:dyDescent="0.25">
      <c r="A56" s="132" t="s">
        <v>254</v>
      </c>
      <c r="B56" s="76" t="s">
        <v>681</v>
      </c>
      <c r="C56" s="73">
        <v>0</v>
      </c>
      <c r="D56" t="s">
        <v>1108</v>
      </c>
    </row>
    <row r="57" spans="1:5" hidden="1" x14ac:dyDescent="0.25">
      <c r="A57" s="124" t="s">
        <v>155</v>
      </c>
      <c r="B57" s="51" t="s">
        <v>682</v>
      </c>
      <c r="C57" s="73">
        <v>0</v>
      </c>
      <c r="D57" t="s">
        <v>1109</v>
      </c>
    </row>
    <row r="58" spans="1:5" x14ac:dyDescent="0.25">
      <c r="A58" s="124" t="s">
        <v>130</v>
      </c>
      <c r="B58" s="51" t="s">
        <v>683</v>
      </c>
      <c r="C58" s="73">
        <v>38.9</v>
      </c>
      <c r="D58" t="s">
        <v>1042</v>
      </c>
      <c r="E58" s="299"/>
    </row>
    <row r="59" spans="1:5" x14ac:dyDescent="0.25">
      <c r="A59" s="124" t="s">
        <v>51</v>
      </c>
      <c r="B59" s="51" t="s">
        <v>684</v>
      </c>
      <c r="C59" s="73">
        <v>38.9</v>
      </c>
      <c r="D59" t="s">
        <v>1110</v>
      </c>
      <c r="E59" s="299"/>
    </row>
    <row r="60" spans="1:5" ht="15" customHeight="1" x14ac:dyDescent="0.25">
      <c r="A60" s="124" t="s">
        <v>53</v>
      </c>
      <c r="B60" s="51" t="s">
        <v>685</v>
      </c>
      <c r="C60" s="73">
        <v>36.799999999999997</v>
      </c>
      <c r="D60" t="s">
        <v>1111</v>
      </c>
      <c r="E60" s="299"/>
    </row>
    <row r="61" spans="1:5" x14ac:dyDescent="0.25">
      <c r="A61" s="124" t="s">
        <v>57</v>
      </c>
      <c r="B61" s="51" t="s">
        <v>686</v>
      </c>
      <c r="C61" s="73">
        <v>37.9</v>
      </c>
      <c r="D61" t="s">
        <v>1112</v>
      </c>
      <c r="E61" s="299"/>
    </row>
    <row r="62" spans="1:5" x14ac:dyDescent="0.25">
      <c r="A62" s="124" t="s">
        <v>55</v>
      </c>
      <c r="B62" s="51" t="s">
        <v>687</v>
      </c>
      <c r="C62" s="73">
        <v>27.9</v>
      </c>
      <c r="D62" t="s">
        <v>1113</v>
      </c>
      <c r="E62" s="299"/>
    </row>
    <row r="63" spans="1:5" hidden="1" x14ac:dyDescent="0.25">
      <c r="A63" s="124" t="s">
        <v>61</v>
      </c>
      <c r="B63" s="51" t="s">
        <v>688</v>
      </c>
      <c r="C63" s="73">
        <v>0</v>
      </c>
      <c r="D63" t="s">
        <v>1114</v>
      </c>
    </row>
    <row r="64" spans="1:5" hidden="1" x14ac:dyDescent="0.25">
      <c r="A64" s="127" t="s">
        <v>64</v>
      </c>
      <c r="B64" s="76" t="s">
        <v>689</v>
      </c>
      <c r="C64" s="73">
        <v>0</v>
      </c>
      <c r="D64" t="s">
        <v>1115</v>
      </c>
    </row>
    <row r="65" spans="1:5" hidden="1" x14ac:dyDescent="0.25">
      <c r="A65" s="127" t="s">
        <v>67</v>
      </c>
      <c r="B65" s="76" t="s">
        <v>690</v>
      </c>
      <c r="C65" s="73">
        <v>0</v>
      </c>
      <c r="D65" t="s">
        <v>1116</v>
      </c>
    </row>
    <row r="66" spans="1:5" x14ac:dyDescent="0.25">
      <c r="A66" s="124" t="s">
        <v>70</v>
      </c>
      <c r="B66" s="51" t="s">
        <v>691</v>
      </c>
      <c r="C66" s="73">
        <v>29.9</v>
      </c>
      <c r="D66" t="s">
        <v>1117</v>
      </c>
      <c r="E66" s="299"/>
    </row>
    <row r="67" spans="1:5" hidden="1" x14ac:dyDescent="0.25">
      <c r="A67" s="125" t="s">
        <v>560</v>
      </c>
      <c r="B67" s="51" t="s">
        <v>692</v>
      </c>
      <c r="C67" s="73">
        <v>0</v>
      </c>
      <c r="D67" t="s">
        <v>1118</v>
      </c>
    </row>
    <row r="68" spans="1:5" hidden="1" x14ac:dyDescent="0.25">
      <c r="A68" s="124" t="s">
        <v>79</v>
      </c>
      <c r="B68" s="51" t="s">
        <v>693</v>
      </c>
      <c r="C68" s="73" t="s">
        <v>1267</v>
      </c>
      <c r="D68" t="s">
        <v>1119</v>
      </c>
    </row>
    <row r="69" spans="1:5" hidden="1" x14ac:dyDescent="0.25">
      <c r="A69" s="125" t="s">
        <v>561</v>
      </c>
      <c r="B69" s="51" t="s">
        <v>694</v>
      </c>
      <c r="C69" s="73">
        <v>0</v>
      </c>
      <c r="D69" t="s">
        <v>1120</v>
      </c>
    </row>
    <row r="70" spans="1:5" hidden="1" x14ac:dyDescent="0.25">
      <c r="A70" s="125" t="s">
        <v>562</v>
      </c>
      <c r="B70" s="51" t="s">
        <v>222</v>
      </c>
      <c r="C70" s="73">
        <v>0</v>
      </c>
      <c r="D70" t="s">
        <v>1121</v>
      </c>
    </row>
    <row r="71" spans="1:5" hidden="1" x14ac:dyDescent="0.25">
      <c r="A71" s="124" t="s">
        <v>76</v>
      </c>
      <c r="B71" s="51" t="s">
        <v>695</v>
      </c>
      <c r="C71" s="73">
        <v>0</v>
      </c>
      <c r="D71" t="s">
        <v>1122</v>
      </c>
    </row>
    <row r="72" spans="1:5" hidden="1" x14ac:dyDescent="0.25">
      <c r="A72" s="125" t="s">
        <v>563</v>
      </c>
      <c r="B72" s="51" t="s">
        <v>266</v>
      </c>
      <c r="C72" s="73">
        <v>0</v>
      </c>
      <c r="D72" t="s">
        <v>1123</v>
      </c>
    </row>
    <row r="73" spans="1:5" hidden="1" x14ac:dyDescent="0.25">
      <c r="A73" s="125" t="s">
        <v>564</v>
      </c>
      <c r="B73" s="51" t="s">
        <v>696</v>
      </c>
      <c r="C73" s="73">
        <v>0</v>
      </c>
      <c r="D73" t="s">
        <v>1124</v>
      </c>
    </row>
    <row r="74" spans="1:5" hidden="1" x14ac:dyDescent="0.25">
      <c r="A74" s="124" t="s">
        <v>83</v>
      </c>
      <c r="B74" s="51" t="s">
        <v>275</v>
      </c>
      <c r="C74" s="73" t="e">
        <v>#REF!</v>
      </c>
      <c r="D74" t="s">
        <v>1125</v>
      </c>
      <c r="E74" s="299"/>
    </row>
    <row r="75" spans="1:5" x14ac:dyDescent="0.25">
      <c r="A75" s="124" t="s">
        <v>565</v>
      </c>
      <c r="B75" s="51" t="s">
        <v>697</v>
      </c>
      <c r="C75" s="73">
        <v>19.899999999999999</v>
      </c>
      <c r="D75" t="s">
        <v>1126</v>
      </c>
      <c r="E75" s="299"/>
    </row>
    <row r="76" spans="1:5" x14ac:dyDescent="0.25">
      <c r="A76" s="124" t="s">
        <v>131</v>
      </c>
      <c r="B76" s="51" t="s">
        <v>698</v>
      </c>
      <c r="C76" s="73">
        <v>22.9</v>
      </c>
      <c r="D76" t="s">
        <v>1043</v>
      </c>
      <c r="E76" s="299"/>
    </row>
    <row r="77" spans="1:5" x14ac:dyDescent="0.25">
      <c r="A77" s="124" t="s">
        <v>86</v>
      </c>
      <c r="B77" s="51" t="s">
        <v>267</v>
      </c>
      <c r="C77" s="73">
        <v>49.031999999999996</v>
      </c>
      <c r="D77" t="s">
        <v>1127</v>
      </c>
      <c r="E77" s="299"/>
    </row>
    <row r="78" spans="1:5" x14ac:dyDescent="0.25">
      <c r="A78" s="124" t="s">
        <v>88</v>
      </c>
      <c r="B78" s="51" t="s">
        <v>699</v>
      </c>
      <c r="C78" s="73">
        <v>47.476000000000006</v>
      </c>
      <c r="D78" t="s">
        <v>1128</v>
      </c>
      <c r="E78" s="299"/>
    </row>
    <row r="79" spans="1:5" x14ac:dyDescent="0.25">
      <c r="A79" s="124" t="s">
        <v>91</v>
      </c>
      <c r="B79" s="51" t="s">
        <v>700</v>
      </c>
      <c r="C79" s="73">
        <v>51.926500000000004</v>
      </c>
      <c r="D79" t="s">
        <v>1129</v>
      </c>
      <c r="E79" s="299"/>
    </row>
    <row r="80" spans="1:5" x14ac:dyDescent="0.25">
      <c r="A80" s="124" t="s">
        <v>134</v>
      </c>
      <c r="B80" s="51" t="s">
        <v>277</v>
      </c>
      <c r="C80" s="73">
        <v>19.911999999999999</v>
      </c>
      <c r="D80" t="s">
        <v>1044</v>
      </c>
      <c r="E80" s="299"/>
    </row>
    <row r="81" spans="1:5" x14ac:dyDescent="0.25">
      <c r="A81" s="124" t="s">
        <v>101</v>
      </c>
      <c r="B81" s="51" t="s">
        <v>701</v>
      </c>
      <c r="C81" s="73">
        <v>29.9</v>
      </c>
      <c r="D81" t="s">
        <v>1130</v>
      </c>
      <c r="E81" s="299"/>
    </row>
    <row r="82" spans="1:5" x14ac:dyDescent="0.25">
      <c r="A82" s="124" t="s">
        <v>107</v>
      </c>
      <c r="B82" s="51" t="s">
        <v>702</v>
      </c>
      <c r="C82" s="73">
        <v>29.9</v>
      </c>
      <c r="D82" t="s">
        <v>1131</v>
      </c>
      <c r="E82" s="299"/>
    </row>
    <row r="83" spans="1:5" x14ac:dyDescent="0.25">
      <c r="A83" s="124" t="s">
        <v>104</v>
      </c>
      <c r="B83" s="51" t="s">
        <v>703</v>
      </c>
      <c r="C83" s="73">
        <v>53.9</v>
      </c>
      <c r="D83" t="s">
        <v>1132</v>
      </c>
      <c r="E83" s="299"/>
    </row>
    <row r="84" spans="1:5" x14ac:dyDescent="0.25">
      <c r="A84" s="124" t="s">
        <v>110</v>
      </c>
      <c r="B84" s="51" t="s">
        <v>704</v>
      </c>
      <c r="C84" s="73">
        <v>36.9</v>
      </c>
      <c r="D84" t="s">
        <v>1133</v>
      </c>
      <c r="E84" s="299"/>
    </row>
    <row r="85" spans="1:5" x14ac:dyDescent="0.25">
      <c r="A85" s="124" t="s">
        <v>119</v>
      </c>
      <c r="B85" s="51" t="s">
        <v>705</v>
      </c>
      <c r="C85" s="73">
        <v>34.209000000000003</v>
      </c>
      <c r="D85" t="s">
        <v>1134</v>
      </c>
      <c r="E85" s="299"/>
    </row>
    <row r="86" spans="1:5" x14ac:dyDescent="0.25">
      <c r="A86" s="124" t="s">
        <v>122</v>
      </c>
      <c r="B86" s="51" t="s">
        <v>706</v>
      </c>
      <c r="C86" s="73">
        <v>33.596849999999996</v>
      </c>
      <c r="D86" t="s">
        <v>1041</v>
      </c>
      <c r="E86" s="299"/>
    </row>
    <row r="87" spans="1:5" hidden="1" x14ac:dyDescent="0.25">
      <c r="A87" s="125" t="s">
        <v>544</v>
      </c>
      <c r="B87" s="51" t="s">
        <v>117</v>
      </c>
      <c r="C87" s="73">
        <v>0</v>
      </c>
      <c r="D87" t="s">
        <v>1135</v>
      </c>
    </row>
    <row r="88" spans="1:5" hidden="1" x14ac:dyDescent="0.25">
      <c r="A88" s="124" t="s">
        <v>114</v>
      </c>
      <c r="B88" s="51" t="s">
        <v>707</v>
      </c>
      <c r="C88" s="73" t="s">
        <v>1267</v>
      </c>
      <c r="D88" t="s">
        <v>1136</v>
      </c>
    </row>
    <row r="89" spans="1:5" hidden="1" x14ac:dyDescent="0.25">
      <c r="A89" s="125" t="s">
        <v>545</v>
      </c>
      <c r="B89" s="51" t="s">
        <v>118</v>
      </c>
      <c r="C89" s="73">
        <v>0</v>
      </c>
      <c r="D89" t="s">
        <v>1137</v>
      </c>
    </row>
    <row r="90" spans="1:5" hidden="1" x14ac:dyDescent="0.25">
      <c r="A90" s="127" t="s">
        <v>125</v>
      </c>
      <c r="B90" s="76" t="s">
        <v>708</v>
      </c>
      <c r="C90" s="73" t="s">
        <v>1267</v>
      </c>
      <c r="D90" t="s">
        <v>1138</v>
      </c>
    </row>
    <row r="91" spans="1:5" hidden="1" x14ac:dyDescent="0.25">
      <c r="A91" s="125" t="s">
        <v>546</v>
      </c>
      <c r="B91" s="51" t="s">
        <v>709</v>
      </c>
      <c r="C91" s="73">
        <v>0</v>
      </c>
      <c r="D91" t="s">
        <v>1139</v>
      </c>
    </row>
    <row r="92" spans="1:5" hidden="1" x14ac:dyDescent="0.25">
      <c r="A92" s="127" t="s">
        <v>898</v>
      </c>
      <c r="B92" s="76" t="s">
        <v>238</v>
      </c>
      <c r="C92" s="73">
        <v>0</v>
      </c>
      <c r="D92" t="s">
        <v>1140</v>
      </c>
    </row>
    <row r="93" spans="1:5" hidden="1" x14ac:dyDescent="0.25">
      <c r="A93" s="124" t="s">
        <v>137</v>
      </c>
      <c r="B93" s="51" t="s">
        <v>710</v>
      </c>
      <c r="C93" s="73" t="s">
        <v>1267</v>
      </c>
      <c r="D93" t="s">
        <v>1141</v>
      </c>
    </row>
    <row r="94" spans="1:5" hidden="1" x14ac:dyDescent="0.25">
      <c r="A94" s="124" t="s">
        <v>140</v>
      </c>
      <c r="B94" s="51" t="s">
        <v>711</v>
      </c>
      <c r="C94" s="73" t="s">
        <v>1267</v>
      </c>
      <c r="D94" t="s">
        <v>1142</v>
      </c>
    </row>
    <row r="95" spans="1:5" x14ac:dyDescent="0.25">
      <c r="A95" s="124" t="s">
        <v>143</v>
      </c>
      <c r="B95" s="51" t="s">
        <v>712</v>
      </c>
      <c r="C95" s="73">
        <v>49.9</v>
      </c>
      <c r="D95" t="s">
        <v>1143</v>
      </c>
      <c r="E95" s="299"/>
    </row>
    <row r="96" spans="1:5" hidden="1" x14ac:dyDescent="0.25">
      <c r="A96" s="124" t="s">
        <v>146</v>
      </c>
      <c r="B96" s="51" t="s">
        <v>713</v>
      </c>
      <c r="C96" s="73" t="s">
        <v>1267</v>
      </c>
      <c r="D96" t="s">
        <v>1144</v>
      </c>
    </row>
    <row r="97" spans="1:5" hidden="1" x14ac:dyDescent="0.25">
      <c r="A97" s="125" t="s">
        <v>548</v>
      </c>
      <c r="B97" s="51" t="s">
        <v>98</v>
      </c>
      <c r="C97" s="73">
        <v>0</v>
      </c>
      <c r="D97" t="s">
        <v>1145</v>
      </c>
    </row>
    <row r="98" spans="1:5" hidden="1" x14ac:dyDescent="0.25">
      <c r="A98" s="124" t="s">
        <v>714</v>
      </c>
      <c r="B98" s="51" t="s">
        <v>715</v>
      </c>
      <c r="C98" s="73" t="s">
        <v>1267</v>
      </c>
      <c r="D98" t="s">
        <v>1146</v>
      </c>
    </row>
    <row r="99" spans="1:5" x14ac:dyDescent="0.25">
      <c r="A99" s="124" t="s">
        <v>95</v>
      </c>
      <c r="B99" s="51" t="s">
        <v>716</v>
      </c>
      <c r="C99" s="73">
        <v>12.9</v>
      </c>
      <c r="D99" t="s">
        <v>1147</v>
      </c>
      <c r="E99" s="299"/>
    </row>
    <row r="100" spans="1:5" hidden="1" x14ac:dyDescent="0.25">
      <c r="A100" s="124" t="s">
        <v>93</v>
      </c>
      <c r="B100" s="51" t="s">
        <v>717</v>
      </c>
      <c r="C100" s="73" t="s">
        <v>1267</v>
      </c>
      <c r="D100" t="s">
        <v>1148</v>
      </c>
    </row>
    <row r="101" spans="1:5" hidden="1" x14ac:dyDescent="0.25">
      <c r="A101" s="125" t="s">
        <v>543</v>
      </c>
      <c r="B101" s="51" t="s">
        <v>230</v>
      </c>
      <c r="C101" s="73">
        <v>0</v>
      </c>
      <c r="D101" t="s">
        <v>1149</v>
      </c>
    </row>
    <row r="102" spans="1:5" hidden="1" x14ac:dyDescent="0.25">
      <c r="A102" s="124" t="s">
        <v>361</v>
      </c>
      <c r="B102" s="51" t="s">
        <v>718</v>
      </c>
      <c r="C102" s="73">
        <v>0</v>
      </c>
      <c r="D102" t="s">
        <v>1150</v>
      </c>
    </row>
    <row r="103" spans="1:5" hidden="1" x14ac:dyDescent="0.25">
      <c r="A103" s="124" t="s">
        <v>364</v>
      </c>
      <c r="B103" s="51" t="s">
        <v>719</v>
      </c>
      <c r="C103" s="73">
        <v>0</v>
      </c>
      <c r="D103" t="s">
        <v>1151</v>
      </c>
    </row>
    <row r="104" spans="1:5" x14ac:dyDescent="0.25">
      <c r="A104" s="124" t="s">
        <v>367</v>
      </c>
      <c r="B104" s="51" t="s">
        <v>720</v>
      </c>
      <c r="C104" s="73">
        <v>209.35708598911427</v>
      </c>
      <c r="D104" t="s">
        <v>1045</v>
      </c>
    </row>
    <row r="105" spans="1:5" x14ac:dyDescent="0.25">
      <c r="A105" s="124" t="s">
        <v>370</v>
      </c>
      <c r="B105" s="51" t="s">
        <v>721</v>
      </c>
      <c r="C105" s="73">
        <v>228.51849654224662</v>
      </c>
      <c r="D105" t="s">
        <v>1046</v>
      </c>
    </row>
    <row r="106" spans="1:5" hidden="1" x14ac:dyDescent="0.25">
      <c r="A106" s="124" t="s">
        <v>348</v>
      </c>
      <c r="B106" s="51" t="s">
        <v>722</v>
      </c>
      <c r="C106" s="73">
        <v>0</v>
      </c>
      <c r="D106" t="s">
        <v>1152</v>
      </c>
    </row>
    <row r="107" spans="1:5" hidden="1" x14ac:dyDescent="0.25">
      <c r="A107" s="124" t="s">
        <v>351</v>
      </c>
      <c r="B107" s="51" t="s">
        <v>723</v>
      </c>
      <c r="C107" s="73">
        <v>0</v>
      </c>
      <c r="D107" t="s">
        <v>1153</v>
      </c>
    </row>
    <row r="108" spans="1:5" x14ac:dyDescent="0.25">
      <c r="A108" s="124" t="s">
        <v>354</v>
      </c>
      <c r="B108" s="51" t="s">
        <v>724</v>
      </c>
      <c r="C108" s="73">
        <v>237.58869738219306</v>
      </c>
      <c r="D108" t="s">
        <v>1047</v>
      </c>
    </row>
    <row r="109" spans="1:5" x14ac:dyDescent="0.25">
      <c r="A109" s="124" t="s">
        <v>357</v>
      </c>
      <c r="B109" s="51" t="s">
        <v>725</v>
      </c>
      <c r="C109" s="73">
        <v>255.44935068243026</v>
      </c>
      <c r="D109" t="s">
        <v>1048</v>
      </c>
    </row>
    <row r="110" spans="1:5" hidden="1" x14ac:dyDescent="0.25">
      <c r="A110" s="124" t="s">
        <v>374</v>
      </c>
      <c r="B110" s="51" t="s">
        <v>726</v>
      </c>
      <c r="C110" s="73">
        <v>0</v>
      </c>
      <c r="D110" t="s">
        <v>1154</v>
      </c>
    </row>
    <row r="111" spans="1:5" hidden="1" x14ac:dyDescent="0.25">
      <c r="A111" s="124" t="s">
        <v>377</v>
      </c>
      <c r="B111" s="51" t="s">
        <v>727</v>
      </c>
      <c r="C111" s="73">
        <v>0</v>
      </c>
      <c r="D111" t="s">
        <v>1155</v>
      </c>
    </row>
    <row r="112" spans="1:5" hidden="1" x14ac:dyDescent="0.25">
      <c r="A112" s="124" t="s">
        <v>390</v>
      </c>
      <c r="B112" s="51" t="s">
        <v>728</v>
      </c>
      <c r="C112" s="73">
        <v>0</v>
      </c>
      <c r="D112" t="s">
        <v>1156</v>
      </c>
    </row>
    <row r="113" spans="1:4" hidden="1" x14ac:dyDescent="0.25">
      <c r="A113" s="124" t="s">
        <v>393</v>
      </c>
      <c r="B113" s="51" t="s">
        <v>729</v>
      </c>
      <c r="C113" s="73">
        <v>0</v>
      </c>
      <c r="D113" t="s">
        <v>1157</v>
      </c>
    </row>
    <row r="114" spans="1:4" hidden="1" x14ac:dyDescent="0.25">
      <c r="A114" s="124" t="s">
        <v>327</v>
      </c>
      <c r="B114" s="51" t="s">
        <v>730</v>
      </c>
      <c r="C114" s="73">
        <v>0</v>
      </c>
      <c r="D114" t="s">
        <v>1158</v>
      </c>
    </row>
    <row r="115" spans="1:4" hidden="1" x14ac:dyDescent="0.25">
      <c r="A115" s="124" t="s">
        <v>323</v>
      </c>
      <c r="B115" s="51" t="s">
        <v>731</v>
      </c>
      <c r="C115" s="73">
        <v>0</v>
      </c>
      <c r="D115" t="s">
        <v>1159</v>
      </c>
    </row>
    <row r="116" spans="1:4" hidden="1" x14ac:dyDescent="0.25">
      <c r="A116" s="124" t="s">
        <v>331</v>
      </c>
      <c r="B116" s="51" t="s">
        <v>732</v>
      </c>
      <c r="C116" s="73">
        <v>0</v>
      </c>
      <c r="D116" t="s">
        <v>1160</v>
      </c>
    </row>
    <row r="117" spans="1:4" hidden="1" x14ac:dyDescent="0.25">
      <c r="A117" s="124" t="s">
        <v>341</v>
      </c>
      <c r="B117" s="51" t="s">
        <v>733</v>
      </c>
      <c r="C117" s="73">
        <v>0</v>
      </c>
      <c r="D117" t="s">
        <v>1161</v>
      </c>
    </row>
    <row r="118" spans="1:4" hidden="1" x14ac:dyDescent="0.25">
      <c r="A118" s="124" t="s">
        <v>334</v>
      </c>
      <c r="B118" s="51" t="s">
        <v>734</v>
      </c>
      <c r="C118" s="73">
        <v>0</v>
      </c>
      <c r="D118" t="s">
        <v>1162</v>
      </c>
    </row>
    <row r="119" spans="1:4" hidden="1" x14ac:dyDescent="0.25">
      <c r="A119" s="124" t="s">
        <v>344</v>
      </c>
      <c r="B119" s="51" t="s">
        <v>735</v>
      </c>
      <c r="C119" s="73">
        <v>0</v>
      </c>
      <c r="D119" t="s">
        <v>1163</v>
      </c>
    </row>
    <row r="120" spans="1:4" hidden="1" x14ac:dyDescent="0.25">
      <c r="A120" s="124" t="s">
        <v>380</v>
      </c>
      <c r="B120" s="51" t="s">
        <v>736</v>
      </c>
      <c r="C120" s="73">
        <v>0</v>
      </c>
      <c r="D120" t="s">
        <v>1164</v>
      </c>
    </row>
    <row r="121" spans="1:4" hidden="1" x14ac:dyDescent="0.25">
      <c r="A121" s="128" t="s">
        <v>386</v>
      </c>
      <c r="B121" s="85" t="s">
        <v>737</v>
      </c>
      <c r="C121" s="73">
        <v>0</v>
      </c>
      <c r="D121" t="s">
        <v>1165</v>
      </c>
    </row>
    <row r="122" spans="1:4" hidden="1" x14ac:dyDescent="0.25">
      <c r="A122" s="124" t="s">
        <v>396</v>
      </c>
      <c r="B122" s="51" t="s">
        <v>738</v>
      </c>
      <c r="C122" s="73">
        <v>0</v>
      </c>
      <c r="D122" t="s">
        <v>1166</v>
      </c>
    </row>
    <row r="123" spans="1:4" hidden="1" x14ac:dyDescent="0.25">
      <c r="A123" s="124" t="s">
        <v>399</v>
      </c>
      <c r="B123" s="51" t="s">
        <v>739</v>
      </c>
      <c r="C123" s="73">
        <v>0</v>
      </c>
      <c r="D123" t="s">
        <v>1167</v>
      </c>
    </row>
    <row r="124" spans="1:4" hidden="1" x14ac:dyDescent="0.25">
      <c r="A124" s="124" t="s">
        <v>420</v>
      </c>
      <c r="B124" s="51" t="s">
        <v>740</v>
      </c>
      <c r="C124" s="73">
        <v>0</v>
      </c>
      <c r="D124" t="s">
        <v>1168</v>
      </c>
    </row>
    <row r="125" spans="1:4" hidden="1" x14ac:dyDescent="0.25">
      <c r="A125" s="124" t="s">
        <v>741</v>
      </c>
      <c r="B125" s="51" t="s">
        <v>742</v>
      </c>
      <c r="C125" s="73" t="s">
        <v>1267</v>
      </c>
      <c r="D125" t="s">
        <v>1169</v>
      </c>
    </row>
    <row r="126" spans="1:4" hidden="1" x14ac:dyDescent="0.25">
      <c r="A126" s="124" t="s">
        <v>337</v>
      </c>
      <c r="B126" s="51" t="s">
        <v>743</v>
      </c>
      <c r="C126" s="73">
        <v>0</v>
      </c>
      <c r="D126" t="s">
        <v>1170</v>
      </c>
    </row>
    <row r="127" spans="1:4" hidden="1" x14ac:dyDescent="0.25">
      <c r="A127" s="129" t="s">
        <v>386</v>
      </c>
      <c r="B127" s="85" t="s">
        <v>744</v>
      </c>
      <c r="C127" s="73">
        <v>0</v>
      </c>
      <c r="D127" t="s">
        <v>1171</v>
      </c>
    </row>
    <row r="128" spans="1:4" hidden="1" x14ac:dyDescent="0.25">
      <c r="A128" s="127" t="s">
        <v>157</v>
      </c>
      <c r="B128" s="76" t="s">
        <v>745</v>
      </c>
      <c r="C128" s="73">
        <v>0</v>
      </c>
      <c r="D128" t="s">
        <v>1172</v>
      </c>
    </row>
    <row r="129" spans="1:5" hidden="1" x14ac:dyDescent="0.25">
      <c r="A129" s="127" t="s">
        <v>160</v>
      </c>
      <c r="B129" s="76" t="s">
        <v>746</v>
      </c>
      <c r="C129" s="73">
        <v>0</v>
      </c>
      <c r="D129" t="s">
        <v>1173</v>
      </c>
    </row>
    <row r="130" spans="1:5" hidden="1" x14ac:dyDescent="0.25">
      <c r="A130" s="127" t="s">
        <v>163</v>
      </c>
      <c r="B130" s="76" t="s">
        <v>747</v>
      </c>
      <c r="C130" s="73">
        <v>0</v>
      </c>
      <c r="D130" t="s">
        <v>1174</v>
      </c>
    </row>
    <row r="131" spans="1:5" hidden="1" x14ac:dyDescent="0.25">
      <c r="A131" s="127" t="s">
        <v>166</v>
      </c>
      <c r="B131" s="76" t="s">
        <v>748</v>
      </c>
      <c r="C131" s="73">
        <v>0</v>
      </c>
      <c r="D131" t="s">
        <v>1175</v>
      </c>
    </row>
    <row r="132" spans="1:5" hidden="1" x14ac:dyDescent="0.25">
      <c r="A132" s="127" t="s">
        <v>169</v>
      </c>
      <c r="B132" s="76" t="s">
        <v>749</v>
      </c>
      <c r="C132" s="73">
        <v>0</v>
      </c>
      <c r="D132" t="s">
        <v>1176</v>
      </c>
    </row>
    <row r="133" spans="1:5" hidden="1" x14ac:dyDescent="0.25">
      <c r="A133" s="127" t="s">
        <v>172</v>
      </c>
      <c r="B133" s="76" t="s">
        <v>750</v>
      </c>
      <c r="C133" s="73">
        <v>0</v>
      </c>
      <c r="D133" t="s">
        <v>1177</v>
      </c>
    </row>
    <row r="134" spans="1:5" hidden="1" x14ac:dyDescent="0.25">
      <c r="A134" s="130" t="s">
        <v>613</v>
      </c>
      <c r="B134" s="79" t="s">
        <v>751</v>
      </c>
      <c r="C134" s="73">
        <v>0</v>
      </c>
      <c r="D134" t="s">
        <v>1178</v>
      </c>
    </row>
    <row r="135" spans="1:5" hidden="1" x14ac:dyDescent="0.25">
      <c r="A135" s="131" t="s">
        <v>475</v>
      </c>
      <c r="B135" s="82" t="s">
        <v>752</v>
      </c>
      <c r="C135" s="73" t="s">
        <v>1267</v>
      </c>
      <c r="D135" t="s">
        <v>1179</v>
      </c>
    </row>
    <row r="136" spans="1:5" hidden="1" x14ac:dyDescent="0.25">
      <c r="A136" s="126" t="s">
        <v>474</v>
      </c>
      <c r="B136" s="79" t="s">
        <v>753</v>
      </c>
      <c r="C136" s="73" t="s">
        <v>1267</v>
      </c>
      <c r="D136" t="s">
        <v>1180</v>
      </c>
    </row>
    <row r="137" spans="1:5" x14ac:dyDescent="0.25">
      <c r="A137" s="126" t="s">
        <v>510</v>
      </c>
      <c r="B137" s="79" t="s">
        <v>754</v>
      </c>
      <c r="C137" s="73">
        <v>99.9</v>
      </c>
      <c r="D137" t="s">
        <v>1181</v>
      </c>
      <c r="E137" s="299"/>
    </row>
    <row r="138" spans="1:5" x14ac:dyDescent="0.25">
      <c r="A138" s="126" t="s">
        <v>501</v>
      </c>
      <c r="B138" s="79" t="s">
        <v>755</v>
      </c>
      <c r="C138" s="73">
        <v>99.9</v>
      </c>
      <c r="D138" t="s">
        <v>1182</v>
      </c>
      <c r="E138" s="299"/>
    </row>
    <row r="139" spans="1:5" hidden="1" x14ac:dyDescent="0.25">
      <c r="A139" s="126" t="s">
        <v>476</v>
      </c>
      <c r="B139" s="79" t="s">
        <v>756</v>
      </c>
      <c r="C139" s="73">
        <v>0</v>
      </c>
      <c r="D139" t="s">
        <v>1183</v>
      </c>
    </row>
    <row r="140" spans="1:5" x14ac:dyDescent="0.25">
      <c r="A140" s="126" t="s">
        <v>532</v>
      </c>
      <c r="B140" s="79" t="s">
        <v>757</v>
      </c>
      <c r="C140" s="73">
        <v>99.9</v>
      </c>
      <c r="D140" t="s">
        <v>1184</v>
      </c>
      <c r="E140" s="299"/>
    </row>
    <row r="141" spans="1:5" x14ac:dyDescent="0.25">
      <c r="A141" s="124" t="s">
        <v>531</v>
      </c>
      <c r="B141" s="79" t="s">
        <v>758</v>
      </c>
      <c r="C141" s="73">
        <v>99.9</v>
      </c>
      <c r="D141" t="s">
        <v>1185</v>
      </c>
      <c r="E141" s="299"/>
    </row>
    <row r="142" spans="1:5" hidden="1" x14ac:dyDescent="0.25">
      <c r="A142" s="124" t="s">
        <v>502</v>
      </c>
      <c r="B142" s="79" t="s">
        <v>759</v>
      </c>
      <c r="C142" s="73">
        <v>0</v>
      </c>
      <c r="D142" t="s">
        <v>1186</v>
      </c>
    </row>
    <row r="143" spans="1:5" x14ac:dyDescent="0.25">
      <c r="A143" s="124" t="s">
        <v>524</v>
      </c>
      <c r="B143" s="79" t="s">
        <v>760</v>
      </c>
      <c r="C143" s="73">
        <v>149.9</v>
      </c>
      <c r="D143" t="s">
        <v>1187</v>
      </c>
      <c r="E143" s="299"/>
    </row>
    <row r="144" spans="1:5" x14ac:dyDescent="0.25">
      <c r="A144" s="124" t="s">
        <v>556</v>
      </c>
      <c r="B144" s="79" t="s">
        <v>904</v>
      </c>
      <c r="C144" s="73">
        <v>29.99</v>
      </c>
      <c r="D144" t="s">
        <v>1188</v>
      </c>
      <c r="E144" s="299"/>
    </row>
    <row r="145" spans="1:5" x14ac:dyDescent="0.25">
      <c r="A145" s="124" t="s">
        <v>557</v>
      </c>
      <c r="B145" s="79" t="s">
        <v>905</v>
      </c>
      <c r="C145" s="73">
        <v>29.99</v>
      </c>
      <c r="D145" t="s">
        <v>1189</v>
      </c>
      <c r="E145" s="299"/>
    </row>
    <row r="146" spans="1:5" hidden="1" x14ac:dyDescent="0.25">
      <c r="A146" s="127" t="s">
        <v>763</v>
      </c>
      <c r="B146" s="82" t="s">
        <v>764</v>
      </c>
      <c r="C146" s="73">
        <v>0</v>
      </c>
      <c r="D146" t="s">
        <v>1190</v>
      </c>
    </row>
    <row r="147" spans="1:5" hidden="1" x14ac:dyDescent="0.25">
      <c r="A147" s="127" t="s">
        <v>765</v>
      </c>
      <c r="B147" s="82" t="s">
        <v>766</v>
      </c>
      <c r="C147" s="73">
        <v>0</v>
      </c>
      <c r="D147" t="s">
        <v>1191</v>
      </c>
    </row>
    <row r="148" spans="1:5" hidden="1" x14ac:dyDescent="0.25">
      <c r="A148" s="127" t="s">
        <v>767</v>
      </c>
      <c r="B148" s="82" t="s">
        <v>768</v>
      </c>
      <c r="C148" s="73">
        <v>0</v>
      </c>
      <c r="D148" t="s">
        <v>1192</v>
      </c>
    </row>
    <row r="149" spans="1:5" hidden="1" x14ac:dyDescent="0.25">
      <c r="A149" s="127" t="s">
        <v>769</v>
      </c>
      <c r="B149" s="82" t="s">
        <v>770</v>
      </c>
      <c r="C149" s="73">
        <v>0</v>
      </c>
      <c r="D149" t="s">
        <v>1193</v>
      </c>
    </row>
    <row r="150" spans="1:5" hidden="1" x14ac:dyDescent="0.25">
      <c r="A150" s="127" t="s">
        <v>771</v>
      </c>
      <c r="B150" s="82" t="s">
        <v>772</v>
      </c>
      <c r="C150" s="73">
        <v>0</v>
      </c>
      <c r="D150" t="s">
        <v>1037</v>
      </c>
    </row>
    <row r="151" spans="1:5" hidden="1" x14ac:dyDescent="0.25">
      <c r="A151" s="127" t="s">
        <v>773</v>
      </c>
      <c r="B151" s="82" t="s">
        <v>774</v>
      </c>
      <c r="C151" s="73" t="s">
        <v>1267</v>
      </c>
      <c r="D151" t="s">
        <v>1194</v>
      </c>
    </row>
    <row r="152" spans="1:5" hidden="1" x14ac:dyDescent="0.25">
      <c r="A152" s="127" t="s">
        <v>548</v>
      </c>
      <c r="B152" s="82" t="s">
        <v>873</v>
      </c>
      <c r="C152" s="73">
        <v>0</v>
      </c>
      <c r="D152" t="s">
        <v>1195</v>
      </c>
    </row>
    <row r="153" spans="1:5" hidden="1" x14ac:dyDescent="0.25">
      <c r="A153" s="127" t="s">
        <v>775</v>
      </c>
      <c r="B153" s="82" t="s">
        <v>776</v>
      </c>
      <c r="C153" s="73">
        <v>0</v>
      </c>
      <c r="D153" t="s">
        <v>1196</v>
      </c>
    </row>
    <row r="154" spans="1:5" hidden="1" x14ac:dyDescent="0.25">
      <c r="A154" s="127" t="s">
        <v>777</v>
      </c>
      <c r="B154" s="82" t="s">
        <v>778</v>
      </c>
      <c r="C154" s="73" t="s">
        <v>1267</v>
      </c>
      <c r="D154" t="s">
        <v>1197</v>
      </c>
    </row>
    <row r="155" spans="1:5" hidden="1" x14ac:dyDescent="0.25">
      <c r="A155" s="127" t="s">
        <v>779</v>
      </c>
      <c r="B155" s="82" t="s">
        <v>780</v>
      </c>
      <c r="C155" s="73" t="s">
        <v>1267</v>
      </c>
      <c r="D155" t="s">
        <v>1198</v>
      </c>
    </row>
    <row r="156" spans="1:5" hidden="1" x14ac:dyDescent="0.25">
      <c r="A156" s="127" t="s">
        <v>781</v>
      </c>
      <c r="B156" s="82" t="s">
        <v>782</v>
      </c>
      <c r="C156" s="73">
        <v>0</v>
      </c>
      <c r="D156" t="s">
        <v>1199</v>
      </c>
    </row>
    <row r="157" spans="1:5" hidden="1" x14ac:dyDescent="0.25">
      <c r="A157" s="127" t="s">
        <v>783</v>
      </c>
      <c r="B157" s="82" t="s">
        <v>784</v>
      </c>
      <c r="C157" s="73">
        <v>0</v>
      </c>
      <c r="D157" t="s">
        <v>1200</v>
      </c>
    </row>
    <row r="158" spans="1:5" hidden="1" x14ac:dyDescent="0.25">
      <c r="A158" s="127" t="s">
        <v>785</v>
      </c>
      <c r="B158" s="82" t="s">
        <v>786</v>
      </c>
      <c r="C158" s="73" t="s">
        <v>1267</v>
      </c>
      <c r="D158" t="s">
        <v>1201</v>
      </c>
    </row>
    <row r="159" spans="1:5" hidden="1" x14ac:dyDescent="0.25">
      <c r="A159" s="127" t="s">
        <v>787</v>
      </c>
      <c r="B159" s="82" t="s">
        <v>788</v>
      </c>
      <c r="C159" s="73" t="s">
        <v>1267</v>
      </c>
      <c r="D159" t="s">
        <v>1038</v>
      </c>
    </row>
    <row r="160" spans="1:5" hidden="1" x14ac:dyDescent="0.25">
      <c r="A160" s="127" t="s">
        <v>789</v>
      </c>
      <c r="B160" s="82" t="s">
        <v>790</v>
      </c>
      <c r="C160" s="73">
        <v>0</v>
      </c>
      <c r="D160" t="s">
        <v>1202</v>
      </c>
    </row>
    <row r="161" spans="1:4" hidden="1" x14ac:dyDescent="0.25">
      <c r="A161" s="127" t="s">
        <v>791</v>
      </c>
      <c r="B161" s="82" t="s">
        <v>792</v>
      </c>
      <c r="C161" s="73">
        <v>0</v>
      </c>
      <c r="D161" t="s">
        <v>1203</v>
      </c>
    </row>
    <row r="162" spans="1:4" hidden="1" x14ac:dyDescent="0.25">
      <c r="A162" s="127" t="s">
        <v>793</v>
      </c>
      <c r="B162" s="82" t="s">
        <v>794</v>
      </c>
      <c r="C162" s="73">
        <v>0</v>
      </c>
      <c r="D162" t="s">
        <v>1204</v>
      </c>
    </row>
    <row r="163" spans="1:4" hidden="1" x14ac:dyDescent="0.25">
      <c r="A163" s="127" t="s">
        <v>795</v>
      </c>
      <c r="B163" s="82" t="s">
        <v>796</v>
      </c>
      <c r="C163" s="73">
        <v>0</v>
      </c>
      <c r="D163" t="s">
        <v>1205</v>
      </c>
    </row>
    <row r="164" spans="1:4" hidden="1" x14ac:dyDescent="0.25">
      <c r="A164" s="127" t="s">
        <v>797</v>
      </c>
      <c r="B164" s="82" t="s">
        <v>798</v>
      </c>
      <c r="C164" s="73">
        <v>0</v>
      </c>
      <c r="D164" t="s">
        <v>1033</v>
      </c>
    </row>
    <row r="165" spans="1:4" hidden="1" x14ac:dyDescent="0.25">
      <c r="A165" s="127" t="s">
        <v>789</v>
      </c>
      <c r="B165" s="82" t="s">
        <v>799</v>
      </c>
      <c r="C165" s="73">
        <v>0</v>
      </c>
      <c r="D165" t="s">
        <v>1034</v>
      </c>
    </row>
    <row r="166" spans="1:4" hidden="1" x14ac:dyDescent="0.25">
      <c r="A166" s="127" t="s">
        <v>800</v>
      </c>
      <c r="B166" s="82" t="s">
        <v>801</v>
      </c>
      <c r="C166" s="73">
        <v>0</v>
      </c>
      <c r="D166" t="s">
        <v>1206</v>
      </c>
    </row>
    <row r="167" spans="1:4" hidden="1" x14ac:dyDescent="0.25">
      <c r="A167" s="127" t="s">
        <v>802</v>
      </c>
      <c r="B167" s="82" t="s">
        <v>803</v>
      </c>
      <c r="C167" s="73">
        <v>0</v>
      </c>
      <c r="D167" t="s">
        <v>1207</v>
      </c>
    </row>
    <row r="168" spans="1:4" hidden="1" x14ac:dyDescent="0.25">
      <c r="A168" s="127" t="s">
        <v>804</v>
      </c>
      <c r="B168" s="82" t="s">
        <v>805</v>
      </c>
      <c r="C168" s="73">
        <v>0</v>
      </c>
      <c r="D168" t="s">
        <v>1208</v>
      </c>
    </row>
    <row r="169" spans="1:4" hidden="1" x14ac:dyDescent="0.25">
      <c r="A169" s="127" t="s">
        <v>806</v>
      </c>
      <c r="B169" s="82" t="s">
        <v>807</v>
      </c>
      <c r="C169" s="73">
        <v>0</v>
      </c>
      <c r="D169" t="s">
        <v>1031</v>
      </c>
    </row>
    <row r="170" spans="1:4" hidden="1" x14ac:dyDescent="0.25">
      <c r="A170" s="127" t="s">
        <v>808</v>
      </c>
      <c r="B170" s="82" t="s">
        <v>809</v>
      </c>
      <c r="C170" s="73">
        <v>0</v>
      </c>
      <c r="D170" t="s">
        <v>1032</v>
      </c>
    </row>
    <row r="171" spans="1:4" hidden="1" x14ac:dyDescent="0.25">
      <c r="A171" s="127" t="s">
        <v>810</v>
      </c>
      <c r="B171" s="82" t="s">
        <v>811</v>
      </c>
      <c r="C171" s="73">
        <v>0</v>
      </c>
      <c r="D171" t="s">
        <v>1209</v>
      </c>
    </row>
    <row r="172" spans="1:4" hidden="1" x14ac:dyDescent="0.25">
      <c r="A172" s="127" t="s">
        <v>812</v>
      </c>
      <c r="B172" s="82" t="s">
        <v>813</v>
      </c>
      <c r="C172" s="73">
        <v>0</v>
      </c>
      <c r="D172" t="s">
        <v>1210</v>
      </c>
    </row>
    <row r="173" spans="1:4" hidden="1" x14ac:dyDescent="0.25">
      <c r="A173" s="127" t="s">
        <v>814</v>
      </c>
      <c r="B173" s="82" t="s">
        <v>815</v>
      </c>
      <c r="C173" s="73">
        <v>0</v>
      </c>
      <c r="D173" t="s">
        <v>1211</v>
      </c>
    </row>
    <row r="174" spans="1:4" hidden="1" x14ac:dyDescent="0.25">
      <c r="A174" s="127" t="s">
        <v>816</v>
      </c>
      <c r="B174" s="82" t="s">
        <v>817</v>
      </c>
      <c r="C174" s="73">
        <v>0</v>
      </c>
      <c r="D174" t="s">
        <v>1212</v>
      </c>
    </row>
    <row r="175" spans="1:4" hidden="1" x14ac:dyDescent="0.25">
      <c r="A175" s="127" t="s">
        <v>818</v>
      </c>
      <c r="B175" s="82" t="s">
        <v>819</v>
      </c>
      <c r="C175" s="73">
        <v>0</v>
      </c>
      <c r="D175" t="s">
        <v>1213</v>
      </c>
    </row>
    <row r="176" spans="1:4" hidden="1" x14ac:dyDescent="0.25">
      <c r="A176" s="127" t="s">
        <v>820</v>
      </c>
      <c r="B176" s="82" t="s">
        <v>821</v>
      </c>
      <c r="C176" s="73">
        <v>0</v>
      </c>
      <c r="D176" t="s">
        <v>1214</v>
      </c>
    </row>
    <row r="177" spans="1:5" hidden="1" x14ac:dyDescent="0.25">
      <c r="A177" s="127" t="s">
        <v>822</v>
      </c>
      <c r="B177" s="82" t="s">
        <v>823</v>
      </c>
      <c r="C177" s="73">
        <v>0</v>
      </c>
      <c r="D177" t="s">
        <v>1215</v>
      </c>
    </row>
    <row r="178" spans="1:5" hidden="1" x14ac:dyDescent="0.25">
      <c r="A178" s="127" t="s">
        <v>824</v>
      </c>
      <c r="B178" s="82" t="s">
        <v>825</v>
      </c>
      <c r="C178" s="73">
        <v>0</v>
      </c>
      <c r="D178" t="s">
        <v>1216</v>
      </c>
    </row>
    <row r="179" spans="1:5" hidden="1" x14ac:dyDescent="0.25">
      <c r="A179" s="127" t="s">
        <v>826</v>
      </c>
      <c r="B179" s="82" t="s">
        <v>827</v>
      </c>
      <c r="C179" s="73" t="s">
        <v>1267</v>
      </c>
      <c r="D179" t="s">
        <v>1217</v>
      </c>
    </row>
    <row r="180" spans="1:5" hidden="1" x14ac:dyDescent="0.25">
      <c r="A180" s="127" t="s">
        <v>828</v>
      </c>
      <c r="B180" s="82" t="s">
        <v>829</v>
      </c>
      <c r="C180" s="73" t="s">
        <v>1267</v>
      </c>
      <c r="D180" t="s">
        <v>1218</v>
      </c>
    </row>
    <row r="181" spans="1:5" hidden="1" x14ac:dyDescent="0.25">
      <c r="A181" s="127" t="s">
        <v>830</v>
      </c>
      <c r="B181" s="82" t="s">
        <v>831</v>
      </c>
      <c r="C181" s="73">
        <v>0</v>
      </c>
      <c r="D181" t="s">
        <v>1219</v>
      </c>
    </row>
    <row r="182" spans="1:5" hidden="1" x14ac:dyDescent="0.25">
      <c r="A182" s="127" t="s">
        <v>832</v>
      </c>
      <c r="B182" s="82" t="s">
        <v>833</v>
      </c>
      <c r="C182" s="73">
        <v>0</v>
      </c>
      <c r="D182" t="s">
        <v>1051</v>
      </c>
    </row>
    <row r="183" spans="1:5" x14ac:dyDescent="0.25">
      <c r="A183" s="124" t="s">
        <v>538</v>
      </c>
      <c r="B183" s="79" t="s">
        <v>834</v>
      </c>
      <c r="C183" s="73">
        <v>189</v>
      </c>
      <c r="D183" t="s">
        <v>1035</v>
      </c>
      <c r="E183" s="299"/>
    </row>
    <row r="184" spans="1:5" x14ac:dyDescent="0.25">
      <c r="A184" s="124" t="s">
        <v>536</v>
      </c>
      <c r="B184" s="79" t="s">
        <v>835</v>
      </c>
      <c r="C184" s="73">
        <v>189</v>
      </c>
      <c r="D184" t="s">
        <v>1036</v>
      </c>
      <c r="E184" s="299"/>
    </row>
    <row r="185" spans="1:5" x14ac:dyDescent="0.25">
      <c r="A185" s="124" t="s">
        <v>568</v>
      </c>
      <c r="B185" s="79" t="s">
        <v>836</v>
      </c>
      <c r="C185" s="73">
        <v>189</v>
      </c>
      <c r="D185" t="s">
        <v>1052</v>
      </c>
      <c r="E185" s="299"/>
    </row>
    <row r="186" spans="1:5" x14ac:dyDescent="0.25">
      <c r="A186" s="124" t="s">
        <v>611</v>
      </c>
      <c r="B186" s="79" t="s">
        <v>837</v>
      </c>
      <c r="C186" s="73">
        <v>189</v>
      </c>
      <c r="D186" t="s">
        <v>1220</v>
      </c>
      <c r="E186" s="299"/>
    </row>
    <row r="187" spans="1:5" x14ac:dyDescent="0.25">
      <c r="A187" s="124" t="s">
        <v>550</v>
      </c>
      <c r="B187" s="79" t="s">
        <v>838</v>
      </c>
      <c r="C187" s="73">
        <v>42.768000000000001</v>
      </c>
      <c r="D187" t="s">
        <v>1221</v>
      </c>
      <c r="E187" s="299"/>
    </row>
    <row r="188" spans="1:5" x14ac:dyDescent="0.25">
      <c r="A188" s="124" t="s">
        <v>551</v>
      </c>
      <c r="B188" s="79" t="s">
        <v>839</v>
      </c>
      <c r="C188" s="73">
        <v>44.71200000000001</v>
      </c>
      <c r="D188" t="s">
        <v>1222</v>
      </c>
      <c r="E188" s="299"/>
    </row>
    <row r="189" spans="1:5" x14ac:dyDescent="0.25">
      <c r="A189" s="127" t="s">
        <v>556</v>
      </c>
      <c r="B189" s="82" t="s">
        <v>840</v>
      </c>
      <c r="C189" s="73">
        <v>29.99</v>
      </c>
      <c r="D189" t="s">
        <v>1223</v>
      </c>
    </row>
    <row r="190" spans="1:5" x14ac:dyDescent="0.25">
      <c r="A190" s="127" t="s">
        <v>557</v>
      </c>
      <c r="B190" s="82" t="s">
        <v>841</v>
      </c>
      <c r="C190" s="73">
        <v>29.99</v>
      </c>
      <c r="D190" t="s">
        <v>1224</v>
      </c>
    </row>
    <row r="191" spans="1:5" hidden="1" x14ac:dyDescent="0.25">
      <c r="A191" s="127" t="s">
        <v>842</v>
      </c>
      <c r="B191" s="82" t="s">
        <v>843</v>
      </c>
      <c r="C191" s="73">
        <v>0</v>
      </c>
      <c r="D191" t="s">
        <v>1225</v>
      </c>
    </row>
    <row r="192" spans="1:5" x14ac:dyDescent="0.25">
      <c r="A192" s="127" t="s">
        <v>844</v>
      </c>
      <c r="B192" s="82" t="s">
        <v>845</v>
      </c>
      <c r="C192" s="73">
        <v>89.01</v>
      </c>
      <c r="D192" t="s">
        <v>1226</v>
      </c>
    </row>
    <row r="193" spans="1:5" x14ac:dyDescent="0.25">
      <c r="A193" s="124" t="s">
        <v>846</v>
      </c>
      <c r="B193" s="79" t="s">
        <v>847</v>
      </c>
      <c r="C193" s="73">
        <v>44.91</v>
      </c>
      <c r="D193" t="s">
        <v>1227</v>
      </c>
      <c r="E193" s="299"/>
    </row>
    <row r="194" spans="1:5" hidden="1" x14ac:dyDescent="0.25">
      <c r="A194" s="127" t="s">
        <v>848</v>
      </c>
      <c r="B194" s="82" t="s">
        <v>849</v>
      </c>
      <c r="C194" s="73" t="s">
        <v>1267</v>
      </c>
      <c r="D194" t="s">
        <v>1228</v>
      </c>
    </row>
    <row r="195" spans="1:5" x14ac:dyDescent="0.25">
      <c r="A195" s="127" t="s">
        <v>850</v>
      </c>
      <c r="B195" s="82" t="s">
        <v>851</v>
      </c>
      <c r="C195" s="73">
        <v>28.780999999999999</v>
      </c>
      <c r="D195" t="s">
        <v>1229</v>
      </c>
    </row>
    <row r="196" spans="1:5" x14ac:dyDescent="0.25">
      <c r="A196" s="124" t="s">
        <v>850</v>
      </c>
      <c r="B196" s="79" t="s">
        <v>906</v>
      </c>
      <c r="C196" s="73">
        <v>28.780999999999999</v>
      </c>
      <c r="D196" t="s">
        <v>1230</v>
      </c>
      <c r="E196" s="299"/>
    </row>
    <row r="197" spans="1:5" x14ac:dyDescent="0.25">
      <c r="A197" s="124" t="s">
        <v>844</v>
      </c>
      <c r="B197" s="79" t="s">
        <v>907</v>
      </c>
      <c r="C197" s="73">
        <v>89.01</v>
      </c>
      <c r="D197" t="s">
        <v>1231</v>
      </c>
      <c r="E197" s="299"/>
    </row>
    <row r="198" spans="1:5" x14ac:dyDescent="0.25">
      <c r="A198" s="124" t="s">
        <v>367</v>
      </c>
      <c r="B198" s="79" t="s">
        <v>720</v>
      </c>
      <c r="C198" s="73">
        <v>209.35708598911427</v>
      </c>
      <c r="D198" t="s">
        <v>1232</v>
      </c>
      <c r="E198" s="299"/>
    </row>
    <row r="199" spans="1:5" x14ac:dyDescent="0.25">
      <c r="A199" s="124" t="s">
        <v>370</v>
      </c>
      <c r="B199" s="79" t="s">
        <v>721</v>
      </c>
      <c r="C199" s="73">
        <v>228.51849654224662</v>
      </c>
      <c r="D199" t="s">
        <v>1233</v>
      </c>
      <c r="E199" s="299"/>
    </row>
    <row r="200" spans="1:5" x14ac:dyDescent="0.25">
      <c r="A200" s="124" t="s">
        <v>354</v>
      </c>
      <c r="B200" s="79" t="s">
        <v>724</v>
      </c>
      <c r="C200" s="73">
        <v>237.58869738219306</v>
      </c>
      <c r="D200" t="s">
        <v>1234</v>
      </c>
      <c r="E200" s="299"/>
    </row>
    <row r="201" spans="1:5" x14ac:dyDescent="0.25">
      <c r="A201" s="124" t="s">
        <v>357</v>
      </c>
      <c r="B201" s="79" t="s">
        <v>725</v>
      </c>
      <c r="C201" s="73">
        <v>255.44935068243026</v>
      </c>
      <c r="D201" t="s">
        <v>1235</v>
      </c>
      <c r="E201" s="299"/>
    </row>
    <row r="202" spans="1:5" x14ac:dyDescent="0.25">
      <c r="A202" s="124" t="s">
        <v>568</v>
      </c>
      <c r="B202" s="79" t="s">
        <v>1029</v>
      </c>
      <c r="C202" s="73">
        <v>189</v>
      </c>
      <c r="D202" t="s">
        <v>1049</v>
      </c>
      <c r="E202" s="299"/>
    </row>
    <row r="203" spans="1:5" x14ac:dyDescent="0.25">
      <c r="A203" s="124" t="s">
        <v>611</v>
      </c>
      <c r="B203" s="79" t="s">
        <v>1030</v>
      </c>
      <c r="C203" s="73">
        <v>189</v>
      </c>
      <c r="D203" t="s">
        <v>1050</v>
      </c>
      <c r="E203" s="299"/>
    </row>
  </sheetData>
  <autoFilter ref="A1:D203" xr:uid="{B3D770D7-AE76-482D-8F03-384ED94F8465}">
    <filterColumn colId="2">
      <filters>
        <filter val="R$ 12,90"/>
        <filter val="R$ 133,56"/>
        <filter val="R$ 149,90"/>
        <filter val="R$ 160,30"/>
        <filter val="R$ 189,00"/>
        <filter val="R$ 19,90"/>
        <filter val="R$ 19,91"/>
        <filter val="R$ 209,36"/>
        <filter val="R$ 22,90"/>
        <filter val="R$ 228,52"/>
        <filter val="R$ 237,59"/>
        <filter val="R$ 255,45"/>
        <filter val="R$ 27,90"/>
        <filter val="R$ 28,78"/>
        <filter val="R$ 29,90"/>
        <filter val="R$ 29,99"/>
        <filter val="R$ 33,60"/>
        <filter val="R$ 34,21"/>
        <filter val="R$ 36,80"/>
        <filter val="R$ 36,90"/>
        <filter val="R$ 37,90"/>
        <filter val="R$ 38,90"/>
        <filter val="R$ 42,77"/>
        <filter val="R$ 44,71"/>
        <filter val="R$ 44,91"/>
        <filter val="R$ 47,48"/>
        <filter val="R$ 49,03"/>
        <filter val="R$ 49,90"/>
        <filter val="R$ 51,93"/>
        <filter val="R$ 53,90"/>
        <filter val="R$ 89,01"/>
        <filter val="R$ 99,90"/>
      </filters>
    </filterColumn>
  </autoFilter>
  <phoneticPr fontId="34" type="noConversion"/>
  <pageMargins left="0.25" right="0.25" top="0.75" bottom="0.75" header="0.3" footer="0.3"/>
  <pageSetup paperSize="9" scale="78" fitToHeight="0" orientation="portrait" r:id="rId1"/>
  <colBreaks count="1" manualBreakCount="1">
    <brk id="3" min="1" max="152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0E03-DB2B-4738-9AF6-A4B4C9B693ED}">
  <sheetPr codeName="Planilha5"/>
  <dimension ref="B1:D195"/>
  <sheetViews>
    <sheetView workbookViewId="0">
      <selection activeCell="J17" sqref="J17"/>
    </sheetView>
  </sheetViews>
  <sheetFormatPr defaultRowHeight="15" x14ac:dyDescent="0.25"/>
  <cols>
    <col min="2" max="2" width="17.7109375" bestFit="1" customWidth="1"/>
    <col min="4" max="4" width="17.7109375" bestFit="1" customWidth="1"/>
  </cols>
  <sheetData>
    <row r="1" spans="2:4" x14ac:dyDescent="0.25">
      <c r="B1" s="34" t="s">
        <v>26</v>
      </c>
      <c r="D1" s="75" t="s">
        <v>254</v>
      </c>
    </row>
    <row r="2" spans="2:4" x14ac:dyDescent="0.25">
      <c r="B2" s="34" t="s">
        <v>419</v>
      </c>
      <c r="D2" s="34" t="s">
        <v>155</v>
      </c>
    </row>
    <row r="3" spans="2:4" x14ac:dyDescent="0.25">
      <c r="B3" s="34" t="s">
        <v>417</v>
      </c>
      <c r="D3" s="75" t="s">
        <v>416</v>
      </c>
    </row>
    <row r="4" spans="2:4" x14ac:dyDescent="0.25">
      <c r="B4" s="74" t="s">
        <v>525</v>
      </c>
      <c r="D4" s="34" t="s">
        <v>190</v>
      </c>
    </row>
    <row r="5" spans="2:4" x14ac:dyDescent="0.25">
      <c r="B5" s="74" t="s">
        <v>527</v>
      </c>
      <c r="D5" s="34" t="s">
        <v>189</v>
      </c>
    </row>
    <row r="6" spans="2:4" x14ac:dyDescent="0.25">
      <c r="B6" s="74" t="s">
        <v>528</v>
      </c>
      <c r="D6" s="34" t="s">
        <v>348</v>
      </c>
    </row>
    <row r="7" spans="2:4" x14ac:dyDescent="0.25">
      <c r="B7" s="74" t="s">
        <v>614</v>
      </c>
      <c r="D7" s="34" t="s">
        <v>361</v>
      </c>
    </row>
    <row r="8" spans="2:4" x14ac:dyDescent="0.25">
      <c r="B8" s="34" t="s">
        <v>30</v>
      </c>
      <c r="D8" s="34" t="s">
        <v>396</v>
      </c>
    </row>
    <row r="9" spans="2:4" x14ac:dyDescent="0.25">
      <c r="B9" s="75" t="s">
        <v>255</v>
      </c>
      <c r="D9" s="34" t="s">
        <v>390</v>
      </c>
    </row>
    <row r="10" spans="2:4" x14ac:dyDescent="0.25">
      <c r="B10" s="34" t="s">
        <v>32</v>
      </c>
      <c r="D10" s="34" t="s">
        <v>380</v>
      </c>
    </row>
    <row r="11" spans="2:4" x14ac:dyDescent="0.25">
      <c r="B11" s="75" t="s">
        <v>34</v>
      </c>
      <c r="D11" s="34" t="s">
        <v>374</v>
      </c>
    </row>
    <row r="12" spans="2:4" x14ac:dyDescent="0.25">
      <c r="B12" s="75" t="s">
        <v>418</v>
      </c>
      <c r="D12" s="34" t="s">
        <v>538</v>
      </c>
    </row>
    <row r="13" spans="2:4" x14ac:dyDescent="0.25">
      <c r="B13" s="34" t="s">
        <v>472</v>
      </c>
      <c r="D13" s="34" t="s">
        <v>351</v>
      </c>
    </row>
    <row r="14" spans="2:4" x14ac:dyDescent="0.25">
      <c r="B14" s="34" t="s">
        <v>29</v>
      </c>
      <c r="D14" s="34" t="s">
        <v>536</v>
      </c>
    </row>
    <row r="15" spans="2:4" x14ac:dyDescent="0.25">
      <c r="B15" s="34" t="s">
        <v>28</v>
      </c>
      <c r="D15" s="34" t="s">
        <v>364</v>
      </c>
    </row>
    <row r="16" spans="2:4" x14ac:dyDescent="0.25">
      <c r="B16" s="34" t="s">
        <v>38</v>
      </c>
      <c r="D16" s="34" t="s">
        <v>399</v>
      </c>
    </row>
    <row r="17" spans="2:4" x14ac:dyDescent="0.25">
      <c r="B17" s="34" t="s">
        <v>36</v>
      </c>
      <c r="D17" s="34" t="s">
        <v>393</v>
      </c>
    </row>
    <row r="18" spans="2:4" x14ac:dyDescent="0.25">
      <c r="B18" s="34" t="s">
        <v>46</v>
      </c>
      <c r="D18" s="34" t="s">
        <v>383</v>
      </c>
    </row>
    <row r="19" spans="2:4" x14ac:dyDescent="0.25">
      <c r="B19" s="34" t="s">
        <v>280</v>
      </c>
      <c r="D19" s="34" t="s">
        <v>377</v>
      </c>
    </row>
    <row r="20" spans="2:4" x14ac:dyDescent="0.25">
      <c r="B20" s="34" t="s">
        <v>42</v>
      </c>
      <c r="D20" s="34" t="s">
        <v>386</v>
      </c>
    </row>
    <row r="21" spans="2:4" x14ac:dyDescent="0.25">
      <c r="B21" s="75" t="s">
        <v>434</v>
      </c>
      <c r="D21" s="34" t="s">
        <v>354</v>
      </c>
    </row>
    <row r="22" spans="2:4" x14ac:dyDescent="0.25">
      <c r="B22" s="75" t="s">
        <v>291</v>
      </c>
      <c r="D22" s="34" t="s">
        <v>367</v>
      </c>
    </row>
    <row r="23" spans="2:4" x14ac:dyDescent="0.25">
      <c r="B23" s="75" t="s">
        <v>290</v>
      </c>
      <c r="D23" s="34" t="s">
        <v>357</v>
      </c>
    </row>
    <row r="24" spans="2:4" x14ac:dyDescent="0.25">
      <c r="B24" s="75" t="s">
        <v>433</v>
      </c>
      <c r="D24" s="34" t="s">
        <v>370</v>
      </c>
    </row>
    <row r="25" spans="2:4" x14ac:dyDescent="0.25">
      <c r="B25" s="75" t="s">
        <v>289</v>
      </c>
      <c r="D25" s="51" t="s">
        <v>148</v>
      </c>
    </row>
    <row r="26" spans="2:4" x14ac:dyDescent="0.25">
      <c r="B26" s="75" t="s">
        <v>425</v>
      </c>
      <c r="D26" s="51" t="s">
        <v>149</v>
      </c>
    </row>
    <row r="27" spans="2:4" x14ac:dyDescent="0.25">
      <c r="B27" s="75" t="s">
        <v>294</v>
      </c>
      <c r="D27" s="51" t="s">
        <v>151</v>
      </c>
    </row>
    <row r="28" spans="2:4" x14ac:dyDescent="0.25">
      <c r="B28" s="75" t="s">
        <v>435</v>
      </c>
      <c r="D28" s="51" t="s">
        <v>152</v>
      </c>
    </row>
    <row r="29" spans="2:4" x14ac:dyDescent="0.25">
      <c r="B29" s="75" t="s">
        <v>293</v>
      </c>
      <c r="D29" s="34" t="s">
        <v>323</v>
      </c>
    </row>
    <row r="30" spans="2:4" x14ac:dyDescent="0.25">
      <c r="B30" s="75" t="s">
        <v>292</v>
      </c>
      <c r="D30" s="34" t="s">
        <v>327</v>
      </c>
    </row>
    <row r="31" spans="2:4" x14ac:dyDescent="0.25">
      <c r="B31" s="75" t="s">
        <v>442</v>
      </c>
      <c r="D31" s="84" t="s">
        <v>568</v>
      </c>
    </row>
    <row r="32" spans="2:4" x14ac:dyDescent="0.25">
      <c r="B32" s="75" t="s">
        <v>302</v>
      </c>
      <c r="D32" s="34" t="s">
        <v>344</v>
      </c>
    </row>
    <row r="33" spans="2:4" x14ac:dyDescent="0.25">
      <c r="B33" s="75" t="s">
        <v>441</v>
      </c>
      <c r="D33" s="34" t="s">
        <v>341</v>
      </c>
    </row>
    <row r="34" spans="2:4" x14ac:dyDescent="0.25">
      <c r="B34" s="75" t="s">
        <v>300</v>
      </c>
      <c r="D34" s="84" t="s">
        <v>611</v>
      </c>
    </row>
    <row r="35" spans="2:4" x14ac:dyDescent="0.25">
      <c r="B35" s="75" t="s">
        <v>440</v>
      </c>
      <c r="D35" s="34" t="s">
        <v>334</v>
      </c>
    </row>
    <row r="36" spans="2:4" x14ac:dyDescent="0.25">
      <c r="B36" s="75" t="s">
        <v>301</v>
      </c>
      <c r="D36" s="34" t="s">
        <v>331</v>
      </c>
    </row>
    <row r="37" spans="2:4" x14ac:dyDescent="0.25">
      <c r="B37" s="75" t="s">
        <v>305</v>
      </c>
      <c r="D37" s="34" t="s">
        <v>337</v>
      </c>
    </row>
    <row r="38" spans="2:4" x14ac:dyDescent="0.25">
      <c r="B38" s="75" t="s">
        <v>443</v>
      </c>
      <c r="D38" s="34" t="s">
        <v>29</v>
      </c>
    </row>
    <row r="39" spans="2:4" x14ac:dyDescent="0.25">
      <c r="B39" s="75" t="s">
        <v>304</v>
      </c>
      <c r="D39" s="34" t="s">
        <v>28</v>
      </c>
    </row>
    <row r="40" spans="2:4" x14ac:dyDescent="0.25">
      <c r="B40" s="75" t="s">
        <v>303</v>
      </c>
      <c r="D40" s="34" t="s">
        <v>26</v>
      </c>
    </row>
    <row r="41" spans="2:4" x14ac:dyDescent="0.25">
      <c r="B41" s="34" t="s">
        <v>658</v>
      </c>
      <c r="D41" s="34" t="s">
        <v>125</v>
      </c>
    </row>
    <row r="42" spans="2:4" x14ac:dyDescent="0.25">
      <c r="B42" s="34" t="s">
        <v>660</v>
      </c>
      <c r="D42" s="77" t="s">
        <v>546</v>
      </c>
    </row>
    <row r="43" spans="2:4" x14ac:dyDescent="0.25">
      <c r="B43" s="34" t="s">
        <v>662</v>
      </c>
      <c r="D43" s="34" t="s">
        <v>127</v>
      </c>
    </row>
    <row r="44" spans="2:4" x14ac:dyDescent="0.25">
      <c r="B44" s="34" t="s">
        <v>664</v>
      </c>
      <c r="D44" s="77" t="s">
        <v>544</v>
      </c>
    </row>
    <row r="45" spans="2:4" x14ac:dyDescent="0.25">
      <c r="B45" s="34" t="s">
        <v>666</v>
      </c>
      <c r="D45" s="77" t="s">
        <v>545</v>
      </c>
    </row>
    <row r="46" spans="2:4" x14ac:dyDescent="0.25">
      <c r="B46" s="34" t="s">
        <v>668</v>
      </c>
      <c r="D46" s="77" t="s">
        <v>670</v>
      </c>
    </row>
    <row r="47" spans="2:4" x14ac:dyDescent="0.25">
      <c r="B47" s="77" t="s">
        <v>670</v>
      </c>
      <c r="D47" s="75" t="s">
        <v>57</v>
      </c>
    </row>
    <row r="48" spans="2:4" x14ac:dyDescent="0.25">
      <c r="B48" s="34" t="s">
        <v>672</v>
      </c>
      <c r="D48" s="75" t="s">
        <v>55</v>
      </c>
    </row>
    <row r="49" spans="2:4" x14ac:dyDescent="0.25">
      <c r="B49" s="34" t="s">
        <v>674</v>
      </c>
      <c r="D49" s="34" t="s">
        <v>42</v>
      </c>
    </row>
    <row r="50" spans="2:4" x14ac:dyDescent="0.25">
      <c r="B50" s="51" t="s">
        <v>148</v>
      </c>
      <c r="D50" s="75" t="s">
        <v>130</v>
      </c>
    </row>
    <row r="51" spans="2:4" x14ac:dyDescent="0.25">
      <c r="B51" s="51" t="s">
        <v>149</v>
      </c>
      <c r="D51" s="75" t="s">
        <v>51</v>
      </c>
    </row>
    <row r="52" spans="2:4" x14ac:dyDescent="0.25">
      <c r="B52" s="51" t="s">
        <v>151</v>
      </c>
      <c r="D52" s="75" t="s">
        <v>53</v>
      </c>
    </row>
    <row r="53" spans="2:4" x14ac:dyDescent="0.25">
      <c r="B53" s="51" t="s">
        <v>152</v>
      </c>
      <c r="D53" s="34" t="s">
        <v>658</v>
      </c>
    </row>
    <row r="54" spans="2:4" x14ac:dyDescent="0.25">
      <c r="B54" s="75" t="s">
        <v>416</v>
      </c>
      <c r="D54" s="34" t="s">
        <v>662</v>
      </c>
    </row>
    <row r="55" spans="2:4" x14ac:dyDescent="0.25">
      <c r="B55" s="75" t="s">
        <v>254</v>
      </c>
      <c r="D55" s="34" t="s">
        <v>674</v>
      </c>
    </row>
    <row r="56" spans="2:4" x14ac:dyDescent="0.25">
      <c r="B56" s="34" t="s">
        <v>155</v>
      </c>
      <c r="D56" s="79" t="s">
        <v>846</v>
      </c>
    </row>
    <row r="57" spans="2:4" x14ac:dyDescent="0.25">
      <c r="B57" s="75" t="s">
        <v>130</v>
      </c>
      <c r="D57" s="84" t="s">
        <v>550</v>
      </c>
    </row>
    <row r="58" spans="2:4" x14ac:dyDescent="0.25">
      <c r="B58" s="75" t="s">
        <v>51</v>
      </c>
      <c r="D58" s="84" t="s">
        <v>551</v>
      </c>
    </row>
    <row r="59" spans="2:4" x14ac:dyDescent="0.25">
      <c r="B59" s="75" t="s">
        <v>53</v>
      </c>
      <c r="D59" s="75" t="s">
        <v>131</v>
      </c>
    </row>
    <row r="60" spans="2:4" x14ac:dyDescent="0.25">
      <c r="B60" s="75" t="s">
        <v>57</v>
      </c>
      <c r="D60" s="34" t="s">
        <v>79</v>
      </c>
    </row>
    <row r="61" spans="2:4" x14ac:dyDescent="0.25">
      <c r="B61" s="75" t="s">
        <v>55</v>
      </c>
      <c r="D61" s="77" t="s">
        <v>561</v>
      </c>
    </row>
    <row r="62" spans="2:4" x14ac:dyDescent="0.25">
      <c r="B62" s="34" t="s">
        <v>61</v>
      </c>
      <c r="D62" s="77" t="s">
        <v>563</v>
      </c>
    </row>
    <row r="63" spans="2:4" x14ac:dyDescent="0.25">
      <c r="B63" s="34" t="s">
        <v>64</v>
      </c>
      <c r="D63" s="77" t="s">
        <v>564</v>
      </c>
    </row>
    <row r="64" spans="2:4" x14ac:dyDescent="0.25">
      <c r="B64" s="75" t="s">
        <v>67</v>
      </c>
      <c r="D64" s="77" t="s">
        <v>565</v>
      </c>
    </row>
    <row r="65" spans="2:4" x14ac:dyDescent="0.25">
      <c r="B65" s="75" t="s">
        <v>70</v>
      </c>
      <c r="D65" s="75" t="s">
        <v>67</v>
      </c>
    </row>
    <row r="66" spans="2:4" x14ac:dyDescent="0.25">
      <c r="B66" s="77" t="s">
        <v>560</v>
      </c>
      <c r="D66" s="75" t="s">
        <v>70</v>
      </c>
    </row>
    <row r="67" spans="2:4" x14ac:dyDescent="0.25">
      <c r="B67" s="34" t="s">
        <v>79</v>
      </c>
      <c r="D67" s="75" t="s">
        <v>83</v>
      </c>
    </row>
    <row r="68" spans="2:4" x14ac:dyDescent="0.25">
      <c r="B68" s="77" t="s">
        <v>561</v>
      </c>
      <c r="D68" s="77" t="s">
        <v>560</v>
      </c>
    </row>
    <row r="69" spans="2:4" x14ac:dyDescent="0.25">
      <c r="B69" s="77" t="s">
        <v>562</v>
      </c>
      <c r="D69" s="51" t="s">
        <v>850</v>
      </c>
    </row>
    <row r="70" spans="2:4" x14ac:dyDescent="0.25">
      <c r="B70" s="34" t="s">
        <v>76</v>
      </c>
      <c r="D70" s="77" t="s">
        <v>562</v>
      </c>
    </row>
    <row r="71" spans="2:4" x14ac:dyDescent="0.25">
      <c r="B71" s="77" t="s">
        <v>563</v>
      </c>
      <c r="D71" s="34" t="s">
        <v>76</v>
      </c>
    </row>
    <row r="72" spans="2:4" x14ac:dyDescent="0.25">
      <c r="B72" s="77" t="s">
        <v>564</v>
      </c>
      <c r="D72" s="34" t="s">
        <v>61</v>
      </c>
    </row>
    <row r="73" spans="2:4" x14ac:dyDescent="0.25">
      <c r="B73" s="75" t="s">
        <v>83</v>
      </c>
      <c r="D73" s="34" t="s">
        <v>64</v>
      </c>
    </row>
    <row r="74" spans="2:4" x14ac:dyDescent="0.25">
      <c r="B74" s="77" t="s">
        <v>565</v>
      </c>
      <c r="D74" s="34" t="s">
        <v>86</v>
      </c>
    </row>
    <row r="75" spans="2:4" x14ac:dyDescent="0.25">
      <c r="B75" s="75" t="s">
        <v>131</v>
      </c>
      <c r="D75" s="75" t="s">
        <v>101</v>
      </c>
    </row>
    <row r="76" spans="2:4" x14ac:dyDescent="0.25">
      <c r="B76" s="34" t="s">
        <v>86</v>
      </c>
      <c r="D76" s="75" t="s">
        <v>104</v>
      </c>
    </row>
    <row r="77" spans="2:4" x14ac:dyDescent="0.25">
      <c r="B77" s="75" t="s">
        <v>88</v>
      </c>
      <c r="D77" s="75" t="s">
        <v>134</v>
      </c>
    </row>
    <row r="78" spans="2:4" x14ac:dyDescent="0.25">
      <c r="B78" s="75" t="s">
        <v>91</v>
      </c>
      <c r="D78" s="75" t="s">
        <v>88</v>
      </c>
    </row>
    <row r="79" spans="2:4" x14ac:dyDescent="0.25">
      <c r="B79" s="75" t="s">
        <v>134</v>
      </c>
      <c r="D79" s="75" t="s">
        <v>107</v>
      </c>
    </row>
    <row r="80" spans="2:4" x14ac:dyDescent="0.25">
      <c r="B80" s="75" t="s">
        <v>101</v>
      </c>
      <c r="D80" s="75" t="s">
        <v>110</v>
      </c>
    </row>
    <row r="81" spans="2:4" x14ac:dyDescent="0.25">
      <c r="B81" s="75" t="s">
        <v>107</v>
      </c>
      <c r="D81" s="75" t="s">
        <v>91</v>
      </c>
    </row>
    <row r="82" spans="2:4" x14ac:dyDescent="0.25">
      <c r="B82" s="75" t="s">
        <v>104</v>
      </c>
      <c r="D82" s="77" t="s">
        <v>543</v>
      </c>
    </row>
    <row r="83" spans="2:4" x14ac:dyDescent="0.25">
      <c r="B83" s="75" t="s">
        <v>110</v>
      </c>
      <c r="D83" s="75" t="s">
        <v>160</v>
      </c>
    </row>
    <row r="84" spans="2:4" x14ac:dyDescent="0.25">
      <c r="B84" s="75" t="s">
        <v>119</v>
      </c>
      <c r="D84" s="75" t="s">
        <v>169</v>
      </c>
    </row>
    <row r="85" spans="2:4" x14ac:dyDescent="0.25">
      <c r="B85" s="75" t="s">
        <v>122</v>
      </c>
      <c r="D85" s="75" t="s">
        <v>157</v>
      </c>
    </row>
    <row r="86" spans="2:4" x14ac:dyDescent="0.25">
      <c r="B86" s="77" t="s">
        <v>544</v>
      </c>
      <c r="D86" s="75" t="s">
        <v>166</v>
      </c>
    </row>
    <row r="87" spans="2:4" x14ac:dyDescent="0.25">
      <c r="B87" s="34" t="s">
        <v>114</v>
      </c>
      <c r="D87" s="75" t="s">
        <v>163</v>
      </c>
    </row>
    <row r="88" spans="2:4" x14ac:dyDescent="0.25">
      <c r="B88" s="77" t="s">
        <v>545</v>
      </c>
      <c r="D88" s="75" t="s">
        <v>172</v>
      </c>
    </row>
    <row r="89" spans="2:4" x14ac:dyDescent="0.25">
      <c r="B89" s="34" t="s">
        <v>125</v>
      </c>
      <c r="D89" s="75" t="s">
        <v>122</v>
      </c>
    </row>
    <row r="90" spans="2:4" x14ac:dyDescent="0.25">
      <c r="B90" s="77" t="s">
        <v>546</v>
      </c>
      <c r="D90" s="75" t="s">
        <v>119</v>
      </c>
    </row>
    <row r="91" spans="2:4" x14ac:dyDescent="0.25">
      <c r="B91" s="34" t="s">
        <v>127</v>
      </c>
      <c r="D91" s="34" t="s">
        <v>114</v>
      </c>
    </row>
    <row r="92" spans="2:4" x14ac:dyDescent="0.25">
      <c r="B92" s="34" t="s">
        <v>137</v>
      </c>
      <c r="D92" s="84" t="s">
        <v>557</v>
      </c>
    </row>
    <row r="93" spans="2:4" x14ac:dyDescent="0.25">
      <c r="B93" s="34" t="s">
        <v>140</v>
      </c>
      <c r="D93" s="84" t="s">
        <v>556</v>
      </c>
    </row>
    <row r="94" spans="2:4" x14ac:dyDescent="0.25">
      <c r="B94" s="75" t="s">
        <v>143</v>
      </c>
      <c r="D94" s="34" t="s">
        <v>46</v>
      </c>
    </row>
    <row r="95" spans="2:4" x14ac:dyDescent="0.25">
      <c r="B95" s="34" t="s">
        <v>146</v>
      </c>
      <c r="D95" s="34" t="s">
        <v>280</v>
      </c>
    </row>
    <row r="96" spans="2:4" x14ac:dyDescent="0.25">
      <c r="B96" s="77" t="s">
        <v>548</v>
      </c>
      <c r="D96" s="84" t="s">
        <v>844</v>
      </c>
    </row>
    <row r="97" spans="2:4" x14ac:dyDescent="0.25">
      <c r="B97" s="34" t="s">
        <v>714</v>
      </c>
      <c r="D97" s="34" t="s">
        <v>140</v>
      </c>
    </row>
    <row r="98" spans="2:4" x14ac:dyDescent="0.25">
      <c r="B98" s="75" t="s">
        <v>95</v>
      </c>
      <c r="D98" s="34" t="s">
        <v>93</v>
      </c>
    </row>
    <row r="99" spans="2:4" x14ac:dyDescent="0.25">
      <c r="B99" s="34" t="s">
        <v>93</v>
      </c>
      <c r="D99" s="34" t="s">
        <v>146</v>
      </c>
    </row>
    <row r="100" spans="2:4" x14ac:dyDescent="0.25">
      <c r="B100" s="77" t="s">
        <v>543</v>
      </c>
      <c r="D100" s="75" t="s">
        <v>95</v>
      </c>
    </row>
    <row r="101" spans="2:4" x14ac:dyDescent="0.25">
      <c r="B101" s="34" t="s">
        <v>361</v>
      </c>
      <c r="D101" s="34" t="s">
        <v>41</v>
      </c>
    </row>
    <row r="102" spans="2:4" x14ac:dyDescent="0.25">
      <c r="B102" s="34" t="s">
        <v>364</v>
      </c>
      <c r="D102" s="34" t="s">
        <v>40</v>
      </c>
    </row>
    <row r="103" spans="2:4" x14ac:dyDescent="0.25">
      <c r="B103" s="34" t="s">
        <v>367</v>
      </c>
      <c r="D103" s="84" t="s">
        <v>842</v>
      </c>
    </row>
    <row r="104" spans="2:4" x14ac:dyDescent="0.25">
      <c r="B104" s="34" t="s">
        <v>370</v>
      </c>
      <c r="D104" s="34" t="s">
        <v>137</v>
      </c>
    </row>
    <row r="105" spans="2:4" x14ac:dyDescent="0.25">
      <c r="B105" s="34" t="s">
        <v>348</v>
      </c>
      <c r="D105" s="75" t="s">
        <v>425</v>
      </c>
    </row>
    <row r="106" spans="2:4" x14ac:dyDescent="0.25">
      <c r="B106" s="34" t="s">
        <v>351</v>
      </c>
      <c r="D106" s="75" t="s">
        <v>289</v>
      </c>
    </row>
    <row r="107" spans="2:4" x14ac:dyDescent="0.25">
      <c r="B107" s="34" t="s">
        <v>354</v>
      </c>
      <c r="D107" s="75" t="s">
        <v>433</v>
      </c>
    </row>
    <row r="108" spans="2:4" x14ac:dyDescent="0.25">
      <c r="B108" s="34" t="s">
        <v>357</v>
      </c>
      <c r="D108" s="75" t="s">
        <v>290</v>
      </c>
    </row>
    <row r="109" spans="2:4" x14ac:dyDescent="0.25">
      <c r="B109" s="34" t="s">
        <v>374</v>
      </c>
      <c r="D109" s="75" t="s">
        <v>292</v>
      </c>
    </row>
    <row r="110" spans="2:4" x14ac:dyDescent="0.25">
      <c r="B110" s="34" t="s">
        <v>377</v>
      </c>
      <c r="D110" s="75" t="s">
        <v>291</v>
      </c>
    </row>
    <row r="111" spans="2:4" x14ac:dyDescent="0.25">
      <c r="B111" s="34" t="s">
        <v>390</v>
      </c>
      <c r="D111" s="75" t="s">
        <v>293</v>
      </c>
    </row>
    <row r="112" spans="2:4" x14ac:dyDescent="0.25">
      <c r="B112" s="34" t="s">
        <v>393</v>
      </c>
      <c r="D112" s="75" t="s">
        <v>434</v>
      </c>
    </row>
    <row r="113" spans="2:4" x14ac:dyDescent="0.25">
      <c r="B113" s="34" t="s">
        <v>327</v>
      </c>
      <c r="D113" s="75" t="s">
        <v>435</v>
      </c>
    </row>
    <row r="114" spans="2:4" x14ac:dyDescent="0.25">
      <c r="B114" s="34" t="s">
        <v>323</v>
      </c>
      <c r="D114" s="75" t="s">
        <v>294</v>
      </c>
    </row>
    <row r="115" spans="2:4" x14ac:dyDescent="0.25">
      <c r="B115" s="34" t="s">
        <v>331</v>
      </c>
      <c r="D115" s="75" t="s">
        <v>143</v>
      </c>
    </row>
    <row r="116" spans="2:4" x14ac:dyDescent="0.25">
      <c r="B116" s="34" t="s">
        <v>341</v>
      </c>
      <c r="D116" s="34" t="s">
        <v>472</v>
      </c>
    </row>
    <row r="117" spans="2:4" x14ac:dyDescent="0.25">
      <c r="B117" s="34" t="s">
        <v>334</v>
      </c>
      <c r="D117" s="34" t="s">
        <v>36</v>
      </c>
    </row>
    <row r="118" spans="2:4" x14ac:dyDescent="0.25">
      <c r="B118" s="34" t="s">
        <v>344</v>
      </c>
      <c r="D118" s="74" t="s">
        <v>614</v>
      </c>
    </row>
    <row r="119" spans="2:4" x14ac:dyDescent="0.25">
      <c r="B119" s="34" t="s">
        <v>380</v>
      </c>
      <c r="D119" s="74" t="s">
        <v>528</v>
      </c>
    </row>
    <row r="120" spans="2:4" x14ac:dyDescent="0.25">
      <c r="B120" s="34" t="s">
        <v>383</v>
      </c>
      <c r="D120" s="34" t="s">
        <v>34</v>
      </c>
    </row>
    <row r="121" spans="2:4" x14ac:dyDescent="0.25">
      <c r="B121" s="34" t="s">
        <v>396</v>
      </c>
      <c r="D121" s="34" t="s">
        <v>32</v>
      </c>
    </row>
    <row r="122" spans="2:4" x14ac:dyDescent="0.25">
      <c r="B122" s="34" t="s">
        <v>399</v>
      </c>
      <c r="D122" s="34" t="s">
        <v>255</v>
      </c>
    </row>
    <row r="123" spans="2:4" x14ac:dyDescent="0.25">
      <c r="B123" s="34" t="s">
        <v>420</v>
      </c>
      <c r="D123" s="34" t="s">
        <v>30</v>
      </c>
    </row>
    <row r="124" spans="2:4" x14ac:dyDescent="0.25">
      <c r="B124" s="34" t="s">
        <v>741</v>
      </c>
      <c r="D124" s="74" t="s">
        <v>525</v>
      </c>
    </row>
    <row r="125" spans="2:4" x14ac:dyDescent="0.25">
      <c r="B125" s="34" t="s">
        <v>337</v>
      </c>
      <c r="D125" s="74" t="s">
        <v>527</v>
      </c>
    </row>
    <row r="126" spans="2:4" x14ac:dyDescent="0.25">
      <c r="B126" s="34" t="s">
        <v>386</v>
      </c>
      <c r="D126" s="75" t="s">
        <v>440</v>
      </c>
    </row>
    <row r="127" spans="2:4" x14ac:dyDescent="0.25">
      <c r="B127" s="75" t="s">
        <v>157</v>
      </c>
      <c r="D127" s="75" t="s">
        <v>300</v>
      </c>
    </row>
    <row r="128" spans="2:4" x14ac:dyDescent="0.25">
      <c r="B128" s="75" t="s">
        <v>160</v>
      </c>
      <c r="D128" s="75" t="s">
        <v>441</v>
      </c>
    </row>
    <row r="129" spans="2:4" x14ac:dyDescent="0.25">
      <c r="B129" s="75" t="s">
        <v>163</v>
      </c>
      <c r="D129" s="75" t="s">
        <v>301</v>
      </c>
    </row>
    <row r="130" spans="2:4" x14ac:dyDescent="0.25">
      <c r="B130" s="75" t="s">
        <v>166</v>
      </c>
      <c r="D130" s="75" t="s">
        <v>303</v>
      </c>
    </row>
    <row r="131" spans="2:4" x14ac:dyDescent="0.25">
      <c r="B131" s="75" t="s">
        <v>169</v>
      </c>
      <c r="D131" s="75" t="s">
        <v>302</v>
      </c>
    </row>
    <row r="132" spans="2:4" x14ac:dyDescent="0.25">
      <c r="B132" s="75" t="s">
        <v>172</v>
      </c>
      <c r="D132" s="75" t="s">
        <v>304</v>
      </c>
    </row>
    <row r="133" spans="2:4" x14ac:dyDescent="0.25">
      <c r="B133" s="78" t="s">
        <v>613</v>
      </c>
      <c r="D133" s="75" t="s">
        <v>442</v>
      </c>
    </row>
    <row r="134" spans="2:4" x14ac:dyDescent="0.25">
      <c r="B134" s="80" t="s">
        <v>475</v>
      </c>
      <c r="D134" s="75" t="s">
        <v>443</v>
      </c>
    </row>
    <row r="135" spans="2:4" x14ac:dyDescent="0.25">
      <c r="B135" s="80" t="s">
        <v>474</v>
      </c>
      <c r="D135" s="75" t="s">
        <v>305</v>
      </c>
    </row>
    <row r="136" spans="2:4" x14ac:dyDescent="0.25">
      <c r="B136" s="80" t="s">
        <v>510</v>
      </c>
      <c r="D136" s="34" t="s">
        <v>38</v>
      </c>
    </row>
    <row r="137" spans="2:4" x14ac:dyDescent="0.25">
      <c r="B137" s="80" t="s">
        <v>501</v>
      </c>
      <c r="D137" s="80" t="s">
        <v>501</v>
      </c>
    </row>
    <row r="138" spans="2:4" x14ac:dyDescent="0.25">
      <c r="B138" s="80" t="s">
        <v>476</v>
      </c>
      <c r="D138" s="80" t="s">
        <v>474</v>
      </c>
    </row>
    <row r="139" spans="2:4" x14ac:dyDescent="0.25">
      <c r="B139" s="81" t="s">
        <v>532</v>
      </c>
      <c r="D139" s="78" t="s">
        <v>613</v>
      </c>
    </row>
    <row r="140" spans="2:4" x14ac:dyDescent="0.25">
      <c r="B140" s="75" t="s">
        <v>531</v>
      </c>
      <c r="D140" s="75" t="s">
        <v>524</v>
      </c>
    </row>
    <row r="141" spans="2:4" x14ac:dyDescent="0.25">
      <c r="B141" s="34" t="s">
        <v>502</v>
      </c>
      <c r="D141" s="34" t="s">
        <v>502</v>
      </c>
    </row>
    <row r="142" spans="2:4" x14ac:dyDescent="0.25">
      <c r="B142" s="75" t="s">
        <v>524</v>
      </c>
      <c r="D142" s="75" t="s">
        <v>531</v>
      </c>
    </row>
    <row r="143" spans="2:4" x14ac:dyDescent="0.25">
      <c r="B143" s="34" t="s">
        <v>41</v>
      </c>
      <c r="D143" s="81" t="s">
        <v>532</v>
      </c>
    </row>
    <row r="144" spans="2:4" x14ac:dyDescent="0.25">
      <c r="B144" s="34" t="s">
        <v>40</v>
      </c>
      <c r="D144" s="80" t="s">
        <v>476</v>
      </c>
    </row>
    <row r="145" spans="2:4" x14ac:dyDescent="0.25">
      <c r="B145" s="83" t="s">
        <v>763</v>
      </c>
      <c r="D145" s="80" t="s">
        <v>475</v>
      </c>
    </row>
    <row r="146" spans="2:4" x14ac:dyDescent="0.25">
      <c r="B146" s="83" t="s">
        <v>765</v>
      </c>
      <c r="D146" s="80" t="s">
        <v>510</v>
      </c>
    </row>
    <row r="147" spans="2:4" x14ac:dyDescent="0.25">
      <c r="B147" s="83" t="s">
        <v>767</v>
      </c>
      <c r="D147" s="77" t="s">
        <v>548</v>
      </c>
    </row>
    <row r="148" spans="2:4" x14ac:dyDescent="0.25">
      <c r="B148" s="83" t="s">
        <v>769</v>
      </c>
      <c r="D148" s="34" t="s">
        <v>714</v>
      </c>
    </row>
    <row r="149" spans="2:4" x14ac:dyDescent="0.25">
      <c r="B149" s="83" t="s">
        <v>771</v>
      </c>
      <c r="D149" s="75" t="s">
        <v>418</v>
      </c>
    </row>
    <row r="150" spans="2:4" x14ac:dyDescent="0.25">
      <c r="B150" s="83" t="s">
        <v>773</v>
      </c>
      <c r="D150" s="34" t="s">
        <v>417</v>
      </c>
    </row>
    <row r="151" spans="2:4" x14ac:dyDescent="0.25">
      <c r="B151" s="34" t="s">
        <v>190</v>
      </c>
      <c r="D151" s="83" t="s">
        <v>763</v>
      </c>
    </row>
    <row r="152" spans="2:4" x14ac:dyDescent="0.25">
      <c r="B152" s="34" t="s">
        <v>189</v>
      </c>
      <c r="D152" s="83" t="s">
        <v>765</v>
      </c>
    </row>
    <row r="153" spans="2:4" x14ac:dyDescent="0.25">
      <c r="B153" s="34" t="s">
        <v>775</v>
      </c>
      <c r="D153" s="83" t="s">
        <v>767</v>
      </c>
    </row>
    <row r="154" spans="2:4" x14ac:dyDescent="0.25">
      <c r="B154" s="34" t="s">
        <v>777</v>
      </c>
      <c r="D154" s="34" t="s">
        <v>420</v>
      </c>
    </row>
    <row r="155" spans="2:4" x14ac:dyDescent="0.25">
      <c r="B155" s="34" t="s">
        <v>779</v>
      </c>
      <c r="D155" s="83" t="s">
        <v>773</v>
      </c>
    </row>
    <row r="156" spans="2:4" x14ac:dyDescent="0.25">
      <c r="B156" s="34" t="s">
        <v>781</v>
      </c>
      <c r="D156" s="83" t="s">
        <v>769</v>
      </c>
    </row>
    <row r="157" spans="2:4" x14ac:dyDescent="0.25">
      <c r="B157" s="34" t="s">
        <v>783</v>
      </c>
      <c r="D157" s="83" t="s">
        <v>771</v>
      </c>
    </row>
    <row r="158" spans="2:4" x14ac:dyDescent="0.25">
      <c r="B158" s="34" t="s">
        <v>785</v>
      </c>
      <c r="D158" s="34" t="s">
        <v>741</v>
      </c>
    </row>
    <row r="159" spans="2:4" x14ac:dyDescent="0.25">
      <c r="B159" s="34" t="s">
        <v>787</v>
      </c>
      <c r="D159" s="34" t="s">
        <v>419</v>
      </c>
    </row>
    <row r="160" spans="2:4" x14ac:dyDescent="0.25">
      <c r="B160" s="34" t="s">
        <v>789</v>
      </c>
      <c r="D160" s="34" t="s">
        <v>795</v>
      </c>
    </row>
    <row r="161" spans="2:4" x14ac:dyDescent="0.25">
      <c r="B161" s="34" t="s">
        <v>791</v>
      </c>
      <c r="D161" s="34" t="s">
        <v>797</v>
      </c>
    </row>
    <row r="162" spans="2:4" x14ac:dyDescent="0.25">
      <c r="B162" s="34" t="s">
        <v>793</v>
      </c>
      <c r="D162" s="34" t="s">
        <v>791</v>
      </c>
    </row>
    <row r="163" spans="2:4" x14ac:dyDescent="0.25">
      <c r="B163" s="34" t="s">
        <v>795</v>
      </c>
      <c r="D163" s="34" t="s">
        <v>793</v>
      </c>
    </row>
    <row r="164" spans="2:4" x14ac:dyDescent="0.25">
      <c r="B164" s="34" t="s">
        <v>797</v>
      </c>
      <c r="D164" s="34" t="s">
        <v>826</v>
      </c>
    </row>
    <row r="165" spans="2:4" x14ac:dyDescent="0.25">
      <c r="B165" s="34" t="s">
        <v>789</v>
      </c>
      <c r="D165" s="34" t="s">
        <v>828</v>
      </c>
    </row>
    <row r="166" spans="2:4" x14ac:dyDescent="0.25">
      <c r="B166" s="34" t="s">
        <v>800</v>
      </c>
      <c r="D166" s="34" t="s">
        <v>824</v>
      </c>
    </row>
    <row r="167" spans="2:4" x14ac:dyDescent="0.25">
      <c r="B167" s="34" t="s">
        <v>802</v>
      </c>
      <c r="D167" s="34" t="s">
        <v>822</v>
      </c>
    </row>
    <row r="168" spans="2:4" x14ac:dyDescent="0.25">
      <c r="B168" s="34" t="s">
        <v>804</v>
      </c>
      <c r="D168" s="34" t="s">
        <v>785</v>
      </c>
    </row>
    <row r="169" spans="2:4" x14ac:dyDescent="0.25">
      <c r="B169" s="34" t="s">
        <v>806</v>
      </c>
      <c r="D169" s="34" t="s">
        <v>787</v>
      </c>
    </row>
    <row r="170" spans="2:4" x14ac:dyDescent="0.25">
      <c r="B170" s="34" t="s">
        <v>808</v>
      </c>
      <c r="D170" s="34" t="s">
        <v>783</v>
      </c>
    </row>
    <row r="171" spans="2:4" x14ac:dyDescent="0.25">
      <c r="B171" s="34" t="s">
        <v>810</v>
      </c>
      <c r="D171" s="34" t="s">
        <v>781</v>
      </c>
    </row>
    <row r="172" spans="2:4" x14ac:dyDescent="0.25">
      <c r="B172" s="34" t="s">
        <v>812</v>
      </c>
      <c r="D172" s="34" t="s">
        <v>808</v>
      </c>
    </row>
    <row r="173" spans="2:4" x14ac:dyDescent="0.25">
      <c r="B173" s="34" t="s">
        <v>814</v>
      </c>
      <c r="D173" s="34" t="s">
        <v>810</v>
      </c>
    </row>
    <row r="174" spans="2:4" x14ac:dyDescent="0.25">
      <c r="B174" s="34" t="s">
        <v>816</v>
      </c>
      <c r="D174" s="34" t="s">
        <v>812</v>
      </c>
    </row>
    <row r="175" spans="2:4" x14ac:dyDescent="0.25">
      <c r="B175" s="34" t="s">
        <v>818</v>
      </c>
      <c r="D175" s="34" t="s">
        <v>814</v>
      </c>
    </row>
    <row r="176" spans="2:4" x14ac:dyDescent="0.25">
      <c r="B176" s="34" t="s">
        <v>820</v>
      </c>
      <c r="D176" s="34" t="s">
        <v>816</v>
      </c>
    </row>
    <row r="177" spans="2:4" x14ac:dyDescent="0.25">
      <c r="B177" s="34" t="s">
        <v>822</v>
      </c>
      <c r="D177" s="34" t="s">
        <v>818</v>
      </c>
    </row>
    <row r="178" spans="2:4" x14ac:dyDescent="0.25">
      <c r="B178" s="34" t="s">
        <v>824</v>
      </c>
      <c r="D178" s="34" t="s">
        <v>820</v>
      </c>
    </row>
    <row r="179" spans="2:4" x14ac:dyDescent="0.25">
      <c r="B179" s="34" t="s">
        <v>826</v>
      </c>
      <c r="D179" s="34" t="s">
        <v>777</v>
      </c>
    </row>
    <row r="180" spans="2:4" x14ac:dyDescent="0.25">
      <c r="B180" s="34" t="s">
        <v>828</v>
      </c>
      <c r="D180" s="34" t="s">
        <v>779</v>
      </c>
    </row>
    <row r="181" spans="2:4" x14ac:dyDescent="0.25">
      <c r="B181" s="34" t="s">
        <v>830</v>
      </c>
      <c r="D181" s="34" t="s">
        <v>804</v>
      </c>
    </row>
    <row r="182" spans="2:4" x14ac:dyDescent="0.25">
      <c r="B182" s="34" t="s">
        <v>832</v>
      </c>
      <c r="D182" s="34" t="s">
        <v>775</v>
      </c>
    </row>
    <row r="183" spans="2:4" x14ac:dyDescent="0.25">
      <c r="B183" s="34" t="s">
        <v>538</v>
      </c>
      <c r="D183" s="34" t="s">
        <v>789</v>
      </c>
    </row>
    <row r="184" spans="2:4" x14ac:dyDescent="0.25">
      <c r="B184" s="34" t="s">
        <v>536</v>
      </c>
      <c r="D184" s="34" t="s">
        <v>789</v>
      </c>
    </row>
    <row r="185" spans="2:4" x14ac:dyDescent="0.25">
      <c r="B185" s="84" t="s">
        <v>568</v>
      </c>
      <c r="D185" s="34" t="s">
        <v>800</v>
      </c>
    </row>
    <row r="186" spans="2:4" x14ac:dyDescent="0.25">
      <c r="B186" s="84" t="s">
        <v>611</v>
      </c>
      <c r="D186" s="34" t="s">
        <v>802</v>
      </c>
    </row>
    <row r="187" spans="2:4" x14ac:dyDescent="0.25">
      <c r="B187" s="84" t="s">
        <v>550</v>
      </c>
      <c r="D187" s="34" t="s">
        <v>806</v>
      </c>
    </row>
    <row r="188" spans="2:4" x14ac:dyDescent="0.25">
      <c r="B188" s="84" t="s">
        <v>551</v>
      </c>
      <c r="D188" s="34" t="s">
        <v>830</v>
      </c>
    </row>
    <row r="189" spans="2:4" x14ac:dyDescent="0.25">
      <c r="B189" s="84" t="s">
        <v>556</v>
      </c>
      <c r="D189" s="34" t="s">
        <v>832</v>
      </c>
    </row>
    <row r="190" spans="2:4" x14ac:dyDescent="0.25">
      <c r="B190" s="84" t="s">
        <v>557</v>
      </c>
      <c r="D190" s="84" t="s">
        <v>848</v>
      </c>
    </row>
    <row r="191" spans="2:4" x14ac:dyDescent="0.25">
      <c r="B191" s="84" t="s">
        <v>842</v>
      </c>
      <c r="D191" s="34" t="s">
        <v>666</v>
      </c>
    </row>
    <row r="192" spans="2:4" x14ac:dyDescent="0.25">
      <c r="B192" s="84" t="s">
        <v>844</v>
      </c>
      <c r="D192" s="34" t="s">
        <v>660</v>
      </c>
    </row>
    <row r="193" spans="2:4" x14ac:dyDescent="0.25">
      <c r="B193" s="79" t="s">
        <v>846</v>
      </c>
      <c r="D193" s="34" t="s">
        <v>664</v>
      </c>
    </row>
    <row r="194" spans="2:4" x14ac:dyDescent="0.25">
      <c r="B194" s="84" t="s">
        <v>848</v>
      </c>
      <c r="D194" s="34" t="s">
        <v>672</v>
      </c>
    </row>
    <row r="195" spans="2:4" x14ac:dyDescent="0.25">
      <c r="B195" s="51" t="s">
        <v>850</v>
      </c>
      <c r="D195" s="34" t="s">
        <v>668</v>
      </c>
    </row>
  </sheetData>
  <sortState xmlns:xlrd2="http://schemas.microsoft.com/office/spreadsheetml/2017/richdata2" ref="D1:D196">
    <sortCondition ref="D1:D196"/>
  </sortState>
  <conditionalFormatting sqref="B1:B193">
    <cfRule type="duplicateValues" dxfId="1" priority="2"/>
  </conditionalFormatting>
  <conditionalFormatting sqref="D1:D193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5B29-A70A-4718-B83E-C1C806C4AFAA}">
  <sheetPr codeName="Planilha7">
    <tabColor rgb="FFFFC000"/>
  </sheetPr>
  <dimension ref="A1:D18"/>
  <sheetViews>
    <sheetView workbookViewId="0">
      <selection activeCell="D22" sqref="D22"/>
    </sheetView>
  </sheetViews>
  <sheetFormatPr defaultRowHeight="15" x14ac:dyDescent="0.25"/>
  <cols>
    <col min="1" max="3" width="22.7109375" customWidth="1"/>
    <col min="4" max="4" width="101.140625" bestFit="1" customWidth="1"/>
  </cols>
  <sheetData>
    <row r="1" spans="1:4" x14ac:dyDescent="0.25">
      <c r="A1" s="43" t="s">
        <v>579</v>
      </c>
      <c r="B1" s="43" t="s">
        <v>576</v>
      </c>
      <c r="C1" s="43" t="s">
        <v>577</v>
      </c>
      <c r="D1" s="43" t="s">
        <v>578</v>
      </c>
    </row>
    <row r="2" spans="1:4" x14ac:dyDescent="0.25">
      <c r="A2" s="480" t="s">
        <v>573</v>
      </c>
      <c r="B2" s="482">
        <v>45603</v>
      </c>
      <c r="C2" s="481" t="s">
        <v>580</v>
      </c>
      <c r="D2" s="26" t="s">
        <v>581</v>
      </c>
    </row>
    <row r="3" spans="1:4" x14ac:dyDescent="0.25">
      <c r="A3" s="480"/>
      <c r="B3" s="482"/>
      <c r="C3" s="481"/>
      <c r="D3" s="26" t="s">
        <v>582</v>
      </c>
    </row>
    <row r="4" spans="1:4" x14ac:dyDescent="0.25">
      <c r="A4" s="480"/>
      <c r="B4" s="482"/>
      <c r="C4" s="481"/>
      <c r="D4" s="26" t="s">
        <v>591</v>
      </c>
    </row>
    <row r="5" spans="1:4" x14ac:dyDescent="0.25">
      <c r="A5" s="480"/>
      <c r="B5" s="482"/>
      <c r="C5" s="481"/>
      <c r="D5" s="26" t="s">
        <v>590</v>
      </c>
    </row>
    <row r="6" spans="1:4" x14ac:dyDescent="0.25">
      <c r="A6" s="480"/>
      <c r="B6" s="482"/>
      <c r="C6" s="481"/>
      <c r="D6" s="26" t="s">
        <v>583</v>
      </c>
    </row>
    <row r="7" spans="1:4" x14ac:dyDescent="0.25">
      <c r="A7" s="480"/>
      <c r="B7" s="482"/>
      <c r="C7" s="481"/>
      <c r="D7" s="26" t="s">
        <v>584</v>
      </c>
    </row>
    <row r="8" spans="1:4" x14ac:dyDescent="0.25">
      <c r="A8" s="480"/>
      <c r="B8" s="482"/>
      <c r="C8" s="481"/>
      <c r="D8" s="26" t="s">
        <v>585</v>
      </c>
    </row>
    <row r="9" spans="1:4" x14ac:dyDescent="0.25">
      <c r="A9" s="480"/>
      <c r="B9" s="482"/>
      <c r="C9" s="481"/>
      <c r="D9" s="26" t="s">
        <v>586</v>
      </c>
    </row>
    <row r="10" spans="1:4" x14ac:dyDescent="0.25">
      <c r="A10" s="480"/>
      <c r="B10" s="482"/>
      <c r="C10" s="481"/>
      <c r="D10" s="26" t="s">
        <v>587</v>
      </c>
    </row>
    <row r="11" spans="1:4" x14ac:dyDescent="0.25">
      <c r="A11" s="480"/>
      <c r="B11" s="482"/>
      <c r="C11" s="481"/>
      <c r="D11" s="26" t="s">
        <v>592</v>
      </c>
    </row>
    <row r="12" spans="1:4" x14ac:dyDescent="0.25">
      <c r="A12" s="480"/>
      <c r="B12" s="482"/>
      <c r="C12" s="481"/>
      <c r="D12" s="26" t="s">
        <v>597</v>
      </c>
    </row>
    <row r="13" spans="1:4" x14ac:dyDescent="0.25">
      <c r="A13" s="480"/>
      <c r="B13" s="482"/>
      <c r="C13" s="481"/>
      <c r="D13" s="26" t="s">
        <v>598</v>
      </c>
    </row>
    <row r="14" spans="1:4" x14ac:dyDescent="0.25">
      <c r="A14" s="480" t="s">
        <v>601</v>
      </c>
      <c r="B14" s="482">
        <v>45604</v>
      </c>
      <c r="C14" s="481" t="s">
        <v>580</v>
      </c>
      <c r="D14" s="26" t="s">
        <v>599</v>
      </c>
    </row>
    <row r="15" spans="1:4" x14ac:dyDescent="0.25">
      <c r="A15" s="480"/>
      <c r="B15" s="482"/>
      <c r="C15" s="481"/>
      <c r="D15" s="26" t="s">
        <v>600</v>
      </c>
    </row>
    <row r="16" spans="1:4" x14ac:dyDescent="0.25">
      <c r="A16" s="480" t="s">
        <v>602</v>
      </c>
      <c r="B16" s="50">
        <v>45607</v>
      </c>
      <c r="C16" s="51" t="s">
        <v>580</v>
      </c>
      <c r="D16" s="34" t="s">
        <v>603</v>
      </c>
    </row>
    <row r="17" spans="1:4" x14ac:dyDescent="0.25">
      <c r="A17" s="480"/>
      <c r="B17" s="50">
        <v>45609</v>
      </c>
      <c r="C17" s="51" t="s">
        <v>580</v>
      </c>
      <c r="D17" s="34" t="s">
        <v>605</v>
      </c>
    </row>
    <row r="18" spans="1:4" x14ac:dyDescent="0.25">
      <c r="A18" s="72" t="s">
        <v>616</v>
      </c>
      <c r="B18" s="50">
        <v>45664</v>
      </c>
      <c r="C18" s="51" t="s">
        <v>580</v>
      </c>
      <c r="D18" s="34" t="s">
        <v>617</v>
      </c>
    </row>
  </sheetData>
  <mergeCells count="7">
    <mergeCell ref="A16:A17"/>
    <mergeCell ref="C2:C13"/>
    <mergeCell ref="B2:B13"/>
    <mergeCell ref="A2:A13"/>
    <mergeCell ref="B14:B15"/>
    <mergeCell ref="A14:A15"/>
    <mergeCell ref="C14:C15"/>
  </mergeCells>
  <phoneticPr fontId="3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FOB</vt:lpstr>
      <vt:lpstr>VALOR SUGERIDO</vt:lpstr>
      <vt:lpstr>Planilha1</vt:lpstr>
      <vt:lpstr>Planilha2</vt:lpstr>
      <vt:lpstr>PROMO</vt:lpstr>
      <vt:lpstr>Planilha4</vt:lpstr>
      <vt:lpstr>CONTROLE DE REVISOES</vt:lpstr>
      <vt:lpstr>PROMO!Area_de_impressao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Daros</cp:lastModifiedBy>
  <cp:lastPrinted>2026-05-22T18:45:15Z</cp:lastPrinted>
  <dcterms:created xsi:type="dcterms:W3CDTF">2021-08-09T16:45:44Z</dcterms:created>
  <dcterms:modified xsi:type="dcterms:W3CDTF">2026-07-21T09:45:12Z</dcterms:modified>
</cp:coreProperties>
</file>